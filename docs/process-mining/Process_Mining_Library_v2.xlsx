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ction Events" sheetId="2" state="visible" r:id="rId4"/>
    <sheet name="Course Crosswalk" sheetId="3" state="visible" r:id="rId5"/>
    <sheet name="Mapping" sheetId="4" state="visible" r:id="rId6"/>
    <sheet name="Parameters" sheetId="5" state="visible" r:id="rId7"/>
    <sheet name="Validation" sheetId="6" state="visible" r:id="rId8"/>
    <sheet name="Change Log" sheetId="7" state="visible" r:id="rId9"/>
    <sheet name="References" sheetId="8" state="visible" r:id="rId10"/>
  </sheets>
  <definedNames>
    <definedName function="false" hidden="true" localSheetId="1" name="_xlnm._FilterDatabase" vbProcedure="false">'Action Events'!$A$1:$K$84</definedName>
    <definedName function="false" hidden="true" localSheetId="6" name="_xlnm._FilterDatabase" vbProcedure="false">'Change Log'!$A$1:$C$16</definedName>
    <definedName function="false" hidden="true" localSheetId="2" name="_xlnm._FilterDatabase" vbProcedure="false">'Course Crosswalk'!$A$1:$E$17</definedName>
    <definedName function="false" hidden="true" localSheetId="3" name="_xlnm._FilterDatabase" vbProcedure="false">Mapping!$A$1:$H$37</definedName>
    <definedName function="false" hidden="true" localSheetId="4" name="_xlnm._FilterDatabase" vbProcedure="false">Parameters!$A$1:$F$13</definedName>
    <definedName function="false" hidden="true" localSheetId="7" name="_xlnm._FilterDatabase" vbProcedure="false">References!$A$1:$B$19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<sst xmlns="http://schemas.openxmlformats.org/spreadsheetml/2006/main" count="1421" uniqueCount="811">
  <si>
    <t xml:space="preserve">GALS Process Mining Library — v2 (revised 6 Oct 2026)</t>
  </si>
  <si>
    <t xml:space="preserve">Revision of Process_Mining_Library.xlsx (v1: 45 action events, 20 mapping rows) after checking it against course_slides_v01.html and the pipeline document.</t>
  </si>
  <si>
    <t xml:space="preserve">Sheets</t>
  </si>
  <si>
    <t xml:space="preserve">Action Events — v1's 45 events kept (with v2 notes) plus new events. New rows are shaded green.</t>
  </si>
  <si>
    <t xml:space="preserve">Course Crosswalk — the 13 event types the prompting course actually logs, mapped to library actions and processes, with payload fixes.</t>
  </si>
  <si>
    <t xml:space="preserve">Mapping — 36 process rules (v1 rules revised + new course-native, timing and AI-interaction rules), each with parameters and an evidence class.</t>
  </si>
  <si>
    <t xml:space="preserve">Parameters — every threshold and time window the rules use. All values are provisional starting points to calibrate on pilot data.</t>
  </si>
  <si>
    <t xml:space="preserve">Validation — template for checking each process rule against think-aloud coding (match rate, sensitivity, specificity).</t>
  </si>
  <si>
    <t xml:space="preserve">Change Log — what changed from v1 and why.</t>
  </si>
  <si>
    <t xml:space="preserve">References — sources for the new rules.</t>
  </si>
  <si>
    <t xml:space="preserve">Legend</t>
  </si>
  <si>
    <t xml:space="preserve">Green row = added in v2.  Yellow fill + blue text = provisional value or input cell you should edit.  Black text in Validation = formulas (do not overwrite).</t>
  </si>
  <si>
    <t xml:space="preserve">Three findings that drive this revision</t>
  </si>
  <si>
    <t xml:space="preserve">1. The course logs only 13 event types, stores them in the browser (localStorage + manual JSON download), and records character counts but not text, dwell time or focus. Most v1 events marked GALS = 1 are not emitted by this course.</t>
  </si>
  <si>
    <t xml:space="preserve">2. The course's commit-before-reveal design (predictions, misconception commits, 'what I missed' notes, self-scores) is strong metacognitive evidence that v1 had no names for.</t>
  </si>
  <si>
    <t xml:space="preserve">3. All 28 exercises and labs happen in an external AI tool and return only free text, so no prompting behaviour (versions, tests, verification, copy/paste) is captured. v1 has no AI-interaction events.</t>
  </si>
  <si>
    <t xml:space="preserve">No.</t>
  </si>
  <si>
    <t xml:space="preserve">Action Event</t>
  </si>
  <si>
    <t xml:space="preserve">Directly observable event</t>
  </si>
  <si>
    <t xml:space="preserve">GALS</t>
  </si>
  <si>
    <t xml:space="preserve">Workaround / implementation</t>
  </si>
  <si>
    <t xml:space="preserve">Layer</t>
  </si>
  <si>
    <t xml:space="preserve">Group</t>
  </si>
  <si>
    <t xml:space="preserve">Emitted by course today</t>
  </si>
  <si>
    <t xml:space="preserve">Required payload fields</t>
  </si>
  <si>
    <t xml:space="preserve">v2 change note</t>
  </si>
  <si>
    <t xml:space="preserve">Status</t>
  </si>
  <si>
    <t xml:space="preserve">TASK_OPENED</t>
  </si>
  <si>
    <t xml:space="preserve">Learner opens a task, lesson</t>
  </si>
  <si>
    <t xml:space="preserve">Raw</t>
  </si>
  <si>
    <t xml:space="preserve">v1 (SRL/ITS core)</t>
  </si>
  <si>
    <t xml:space="preserve">First slide_viewed of a new session (derived; no explicit event)</t>
  </si>
  <si>
    <t xml:space="preserve">session_id, task_id, ts</t>
  </si>
  <si>
    <t xml:space="preserve">No longer sufficient for Orientation on its own (navigation only).</t>
  </si>
  <si>
    <t xml:space="preserve">v1</t>
  </si>
  <si>
    <t xml:space="preserve">INSTRUCTIONS_VIEWED</t>
  </si>
  <si>
    <t xml:space="preserve">Learner opens or views task instructions</t>
  </si>
  <si>
    <t xml:space="preserve">Add a structured task-brief page before the learner begins. 
Divide instructions into sections rather than one long block.</t>
  </si>
  <si>
    <t xml:space="preserve">Partial: slide_viewed on an 'objectives' slide (slide_type not yet in payload)</t>
  </si>
  <si>
    <t xml:space="preserve">task_id, slide_type, dwell_ms</t>
  </si>
  <si>
    <t xml:space="preserve">Requires dwell to count toward Orientation.</t>
  </si>
  <si>
    <t xml:space="preserve">REQUIREMENTS_VIEWED</t>
  </si>
  <si>
    <t xml:space="preserve">Learner views task requirements or success criteria</t>
  </si>
  <si>
    <t xml:space="preserve">Add a “What counts as success?” panel with explicit task requirements and completion criteria.
- for session wise
- for assignment wise
- for pre/post assessment</t>
  </si>
  <si>
    <t xml:space="preserve">None. Self-score criteria exist but are only shown at session end</t>
  </si>
  <si>
    <t xml:space="preserve">task_id, criteria_set_id, dwell_ms</t>
  </si>
  <si>
    <t xml:space="preserve">Workaround: show the session's self-score criteria on the Objectives slide.</t>
  </si>
  <si>
    <t xml:space="preserve">RUBRIC_VIEWED</t>
  </si>
  <si>
    <t xml:space="preserve">Learner opens a rubric or evaluation standard</t>
  </si>
  <si>
    <t xml:space="preserve">add checklist for
- for session wise
- for assignment wise
- for pre/post assessment</t>
  </si>
  <si>
    <t xml:space="preserve">Partial: slide_viewed on a 'selfscore' slide</t>
  </si>
  <si>
    <t xml:space="preserve">rubric_id, dwell_ms, before_or_after_attempt</t>
  </si>
  <si>
    <t xml:space="preserve">Mapped by timing: before an attempt = Orientation; after = Evaluation.</t>
  </si>
  <si>
    <t xml:space="preserve">GOAL_ENTERED</t>
  </si>
  <si>
    <t xml:space="preserve">Learner enters or selects a learning or task goal</t>
  </si>
  <si>
    <t xml:space="preserve">Pronpts</t>
  </si>
  <si>
    <t xml:space="preserve">Partial: reflect_submitted contains an implementation intention ('In my next real task I will…')</t>
  </si>
  <si>
    <t xml:space="preserve">goal_text, scope (session|work)</t>
  </si>
  <si>
    <t xml:space="preserve">Reflection intention also counted as forward planning (M22).</t>
  </si>
  <si>
    <t xml:space="preserve">PLAN_CREATED</t>
  </si>
  <si>
    <t xml:space="preserve">Learner creates a plan or sequence of activities</t>
  </si>
  <si>
    <t xml:space="preserve">Add a study plan panel</t>
  </si>
  <si>
    <t xml:space="preserve">None</t>
  </si>
  <si>
    <t xml:space="preserve">plan_id, steps</t>
  </si>
  <si>
    <t xml:space="preserve">Unchanged.</t>
  </si>
  <si>
    <t xml:space="preserve">PLAN_EDITED</t>
  </si>
  <si>
    <t xml:space="preserve">Learner changes an existing plan</t>
  </si>
  <si>
    <t xml:space="preserve">Allow learners to add, delete, reorder, or mark plan steps complete.</t>
  </si>
  <si>
    <t xml:space="preserve">plan_id, change_type</t>
  </si>
  <si>
    <t xml:space="preserve">RESOURCE_SELECTED</t>
  </si>
  <si>
    <t xml:space="preserve">Learner selects content, a tool, or another learning resource</t>
  </si>
  <si>
    <t xml:space="preserve">None (session navigation clicks are not logged)</t>
  </si>
  <si>
    <t xml:space="preserve">resource_id, origin</t>
  </si>
  <si>
    <t xml:space="preserve">Counts as Planning only if preceded by GOAL/PLAN within W_plan; otherwise Information access.</t>
  </si>
  <si>
    <t xml:space="preserve">CONTENT_OPENED</t>
  </si>
  <si>
    <t xml:space="preserve">Learner opens learning content</t>
  </si>
  <si>
    <t xml:space="preserve">slide_viewed</t>
  </si>
  <si>
    <t xml:space="preserve">slide_id, slide_type</t>
  </si>
  <si>
    <t xml:space="preserve">Add slide_type to payload.</t>
  </si>
  <si>
    <t xml:space="preserve">CONTENT_VIEWED</t>
  </si>
  <si>
    <t xml:space="preserve">Learner views or reads content for a measurable interval</t>
  </si>
  <si>
    <t xml:space="preserve">Derived</t>
  </si>
  <si>
    <t xml:space="preserve">slide_viewed + dwell (dwell NOT logged yet)</t>
  </si>
  <si>
    <t xml:space="preserve">slide_id, dwell_ms</t>
  </si>
  <si>
    <t xml:space="preserve">Needs SLIDE_EXITED / dwell. Threshold T_read.</t>
  </si>
  <si>
    <t xml:space="preserve">CONTENT_REVISITED</t>
  </si>
  <si>
    <t xml:space="preserve">Learner returns to previously viewed content</t>
  </si>
  <si>
    <t xml:space="preserve">slide_viewed on an id already in state.viewed (derivable)</t>
  </si>
  <si>
    <t xml:space="preserve">slide_id, visit_no</t>
  </si>
  <si>
    <t xml:space="preserve">Split from first reading: maps to Re-reading (M03b).</t>
  </si>
  <si>
    <t xml:space="preserve">SEARCH_SUBMITTED</t>
  </si>
  <si>
    <t xml:space="preserve">Learner submits a search query</t>
  </si>
  <si>
    <t xml:space="preserve">Add search within the course</t>
  </si>
  <si>
    <t xml:space="preserve">query</t>
  </si>
  <si>
    <t xml:space="preserve">EXAMPLE_OPENED</t>
  </si>
  <si>
    <t xml:space="preserve">Learner opens a worked example or demonstration</t>
  </si>
  <si>
    <t xml:space="preserve">1 (once slide_type logged)</t>
  </si>
  <si>
    <t xml:space="preserve">Add a “Show worked example” option </t>
  </si>
  <si>
    <t xml:space="preserve">slide_viewed on 'example' slides (8 in course)</t>
  </si>
  <si>
    <t xml:space="preserve">Already available once slide_type is logged → GALS can be 1.</t>
  </si>
  <si>
    <t xml:space="preserve">NOTE_CREATED</t>
  </si>
  <si>
    <t xml:space="preserve">Learner creates a note</t>
  </si>
  <si>
    <t xml:space="preserve">None in this course (GALS=1 refers to platform)</t>
  </si>
  <si>
    <t xml:space="preserve">note_text, anchor</t>
  </si>
  <si>
    <t xml:space="preserve">NOTE_EDITED</t>
  </si>
  <si>
    <t xml:space="preserve">Learner edits or expands a note</t>
  </si>
  <si>
    <t xml:space="preserve">None in this course</t>
  </si>
  <si>
    <t xml:space="preserve">note_id, diff</t>
  </si>
  <si>
    <t xml:space="preserve">EXPLANATION_REQUESTED</t>
  </si>
  <si>
    <t xml:space="preserve">Learner requests an explanation</t>
  </si>
  <si>
    <t xml:space="preserve">request_text</t>
  </si>
  <si>
    <t xml:space="preserve">Moved from Knowledge building to Help-seeking.</t>
  </si>
  <si>
    <t xml:space="preserve">EXPLANATION_VIEWED</t>
  </si>
  <si>
    <t xml:space="preserve">Learner views an explanation</t>
  </si>
  <si>
    <t xml:space="preserve">explanation_id, dwell_ms</t>
  </si>
  <si>
    <t xml:space="preserve">Moved from Knowledge building to Information access.</t>
  </si>
  <si>
    <t xml:space="preserve">PROBLEM_OPENED</t>
  </si>
  <si>
    <t xml:space="preserve">Learner opens a problem or practice item</t>
  </si>
  <si>
    <t xml:space="preserve">slide_viewed on mcq / check / exercise / task slides</t>
  </si>
  <si>
    <t xml:space="preserve">Add slide_type.</t>
  </si>
  <si>
    <t xml:space="preserve">ATTEMPT_STARTED</t>
  </si>
  <si>
    <t xml:space="preserve">Learner begins an attempt</t>
  </si>
  <si>
    <t xml:space="preserve">None (first keystroke in a textarea is not logged)</t>
  </si>
  <si>
    <t xml:space="preserve">item_id, ts_first_input</t>
  </si>
  <si>
    <t xml:space="preserve">Needed for time-to-attempt and rapid-response rules.</t>
  </si>
  <si>
    <t xml:space="preserve">STEP_SUBMITTED</t>
  </si>
  <si>
    <t xml:space="preserve">Learner submits an intermediate step</t>
  </si>
  <si>
    <t xml:space="preserve">Convert suitable problems into stepwise workspaces.</t>
  </si>
  <si>
    <t xml:space="preserve">step_no</t>
  </si>
  <si>
    <t xml:space="preserve">ANSWER_SUBMITTED</t>
  </si>
  <si>
    <t xml:space="preserve">Learner submits an answer</t>
  </si>
  <si>
    <t xml:space="preserve">mcq_answered, check_answered, results_submitted</t>
  </si>
  <si>
    <t xml:space="preserve">item_id, chars, text (consented)</t>
  </si>
  <si>
    <t xml:space="preserve">Log text (or hash) not just chars.</t>
  </si>
  <si>
    <t xml:space="preserve">CORRECT_RECORDED</t>
  </si>
  <si>
    <t xml:space="preserve">System records a correct answer</t>
  </si>
  <si>
    <t xml:space="preserve">System</t>
  </si>
  <si>
    <t xml:space="preserve">mcq_answered.correct = true</t>
  </si>
  <si>
    <t xml:space="preserve">item_id</t>
  </si>
  <si>
    <t xml:space="preserve">INCORRECT_RECORDED</t>
  </si>
  <si>
    <t xml:space="preserve">System records an incorrect answer</t>
  </si>
  <si>
    <t xml:space="preserve">mcq_answered.correct = false</t>
  </si>
  <si>
    <t xml:space="preserve">item_id, option</t>
  </si>
  <si>
    <t xml:space="preserve">ERROR_TYPE_RECORDED</t>
  </si>
  <si>
    <t xml:space="preserve">System classifies the error type</t>
  </si>
  <si>
    <t xml:space="preserve">domain-specific error taxonomy</t>
  </si>
  <si>
    <t xml:space="preserve">Derivable: tag each MCQ distractor with a misconception id</t>
  </si>
  <si>
    <t xml:space="preserve">item_id, misconception_id</t>
  </si>
  <si>
    <t xml:space="preserve">Workaround is now concrete for this course.</t>
  </si>
  <si>
    <t xml:space="preserve">CONFIDENCE_RATED</t>
  </si>
  <si>
    <t xml:space="preserve">Learner reports confidence in an answer</t>
  </si>
  <si>
    <t xml:space="preserve">Add a short confidence rating before or after selected answers</t>
  </si>
  <si>
    <t xml:space="preserve">item_id, confidence (1–5), before_or_after</t>
  </si>
  <si>
    <t xml:space="preserve">Add to MCQ and Predict slides; enables Calibration (M23).</t>
  </si>
  <si>
    <t xml:space="preserve">ANSWER_REVISED</t>
  </si>
  <si>
    <t xml:space="preserve">Learner changes and resubmits an answer</t>
  </si>
  <si>
    <t xml:space="preserve">mcq_answered repeated on same slide (if re-selection allowed)</t>
  </si>
  <si>
    <t xml:space="preserve">item_id, attempt_no</t>
  </si>
  <si>
    <t xml:space="preserve">HINT_REQUESTED</t>
  </si>
  <si>
    <t xml:space="preserve">Learner requests a hint</t>
  </si>
  <si>
    <t xml:space="preserve">hint_level</t>
  </si>
  <si>
    <t xml:space="preserve">HINT_OPENED</t>
  </si>
  <si>
    <t xml:space="preserve">Learner opens or reads a hint</t>
  </si>
  <si>
    <t xml:space="preserve">hint_level, dwell_ms</t>
  </si>
  <si>
    <t xml:space="preserve">FEEDBACK_OPENED</t>
  </si>
  <si>
    <t xml:space="preserve">Learner opens feedback</t>
  </si>
  <si>
    <t xml:space="preserve">MCQ feedback on answer; check_revealed</t>
  </si>
  <si>
    <t xml:space="preserve">ERROR_REVIEWED</t>
  </si>
  <si>
    <t xml:space="preserve">Learner opens or reviews an error explanation</t>
  </si>
  <si>
    <t xml:space="preserve">misconception_opened</t>
  </si>
  <si>
    <t xml:space="preserve">Was unmapped in v1; now mapped (M16).</t>
  </si>
  <si>
    <t xml:space="preserve">SOLUTION_REQUESTED</t>
  </si>
  <si>
    <t xml:space="preserve">Learner requests or reveals a full solution</t>
  </si>
  <si>
    <t xml:space="preserve">check_revealed / expect_revealed are reference reveals gated behind the learner's own attempt</t>
  </si>
  <si>
    <t xml:space="preserve">item_id, prior_attempt (y/n)</t>
  </si>
  <si>
    <t xml:space="preserve">In this course a gated reveal is NOT answer dependence; see REFERENCE_REVEALED.</t>
  </si>
  <si>
    <t xml:space="preserve">TUTOR_MESSAGE_SENT</t>
  </si>
  <si>
    <t xml:space="preserve">Learner sends a message or question to the tutor</t>
  </si>
  <si>
    <t xml:space="preserve">message_text, classification</t>
  </si>
  <si>
    <t xml:space="preserve">Must carry a help-type classification (AI_HELP_PROMPT_CLASSIFIED).</t>
  </si>
  <si>
    <t xml:space="preserve">PEER_HELP_REQUESTED</t>
  </si>
  <si>
    <t xml:space="preserve">Learner requests help from a peer, mentor, or manager</t>
  </si>
  <si>
    <t xml:space="preserve">N/A</t>
  </si>
  <si>
    <t xml:space="preserve">channel</t>
  </si>
  <si>
    <t xml:space="preserve">HELP_DISMISSED</t>
  </si>
  <si>
    <t xml:space="preserve">Learner closes or dismisses help</t>
  </si>
  <si>
    <t xml:space="preserve">help_id</t>
  </si>
  <si>
    <t xml:space="preserve">Was unmapped in v1; now mapped (M12).</t>
  </si>
  <si>
    <t xml:space="preserve">PROGRESS_VIEWED</t>
  </si>
  <si>
    <t xml:space="preserve">Learner views progress information</t>
  </si>
  <si>
    <t xml:space="preserve">Progress counter is always visible: not a learner action</t>
  </si>
  <si>
    <t xml:space="preserve">—</t>
  </si>
  <si>
    <t xml:space="preserve">Counts as Monitoring only if followed by a changed action within W_mon.</t>
  </si>
  <si>
    <t xml:space="preserve">SCORE_VIEWED</t>
  </si>
  <si>
    <t xml:space="preserve">Learner views a score or performance result</t>
  </si>
  <si>
    <t xml:space="preserve">Self-score total updates live</t>
  </si>
  <si>
    <t xml:space="preserve">rubric_id</t>
  </si>
  <si>
    <t xml:space="preserve">Same rule as PROGRESS_VIEWED.</t>
  </si>
  <si>
    <t xml:space="preserve">RUBRIC_COMPARED</t>
  </si>
  <si>
    <t xml:space="preserve">Learner actively compares work with a rubric</t>
  </si>
  <si>
    <t xml:space="preserve">1</t>
  </si>
  <si>
    <t xml:space="preserve">Add a comparison mode showing the learner’s work beside each rubric criterion</t>
  </si>
  <si>
    <t xml:space="preserve">selfscore_set (per criterion)</t>
  </si>
  <si>
    <t xml:space="preserve">criterion, value</t>
  </si>
  <si>
    <t xml:space="preserve">SELF_CHECK_SUBMITTED</t>
  </si>
  <si>
    <t xml:space="preserve">Learner submits a self-check or self-assessment</t>
  </si>
  <si>
    <t xml:space="preserve">check_answered (Pause-and-check items)</t>
  </si>
  <si>
    <t xml:space="preserve">item_id, chars</t>
  </si>
  <si>
    <t xml:space="preserve">ANSWER_COMPARED</t>
  </si>
  <si>
    <t xml:space="preserve">Learner compares an answer with a reference</t>
  </si>
  <si>
    <t xml:space="preserve">1 (derived)</t>
  </si>
  <si>
    <t xml:space="preserve">After an attempt, provide a controlled comparison with a reference answer </t>
  </si>
  <si>
    <t xml:space="preserve">check_revealed → check_missed_noted; results_submitted → expect_revealed</t>
  </si>
  <si>
    <t xml:space="preserve">See M15 Reference comparison.</t>
  </si>
  <si>
    <t xml:space="preserve">REFLECTION_SUBMITTED</t>
  </si>
  <si>
    <t xml:space="preserve">Learner submits a reflection or explanation of their process</t>
  </si>
  <si>
    <t xml:space="preserve">Add a short exit reflection with prompts</t>
  </si>
  <si>
    <t xml:space="preserve">reflect_submitted (8 reflections in course)</t>
  </si>
  <si>
    <t xml:space="preserve">text, chars</t>
  </si>
  <si>
    <t xml:space="preserve">GALS updated to 1: the course already captures it.</t>
  </si>
  <si>
    <t xml:space="preserve">RETRY_STARTED</t>
  </si>
  <si>
    <t xml:space="preserve">Learner begins another attempt after feedback or failure</t>
  </si>
  <si>
    <t xml:space="preserve">RETURN_TO_CONTENT</t>
  </si>
  <si>
    <t xml:space="preserve">Learner returns from a problem to learning content</t>
  </si>
  <si>
    <t xml:space="preserve">Backward slide_viewed after a check/mcq slide (derivable)</t>
  </si>
  <si>
    <t xml:space="preserve">from_slide, to_slide</t>
  </si>
  <si>
    <t xml:space="preserve">RESOURCE_CHANGED</t>
  </si>
  <si>
    <t xml:space="preserve">Learner switches to another resource or strategy option</t>
  </si>
  <si>
    <t xml:space="preserve">Session switch via sidebar (not logged)</t>
  </si>
  <si>
    <t xml:space="preserve">from, to</t>
  </si>
  <si>
    <t xml:space="preserve">Alone = navigation; needs RETRY to count as adaptation.</t>
  </si>
  <si>
    <t xml:space="preserve">TASK_ABANDONED</t>
  </si>
  <si>
    <t xml:space="preserve">Learner exits or abandons a task</t>
  </si>
  <si>
    <t xml:space="preserve">Derivable from last event + no completion</t>
  </si>
  <si>
    <t xml:space="preserve">task_id, last_event, focus_state</t>
  </si>
  <si>
    <t xml:space="preserve">Requires FOCUS/IDLE events to separate interruption from disengagement.</t>
  </si>
  <si>
    <t xml:space="preserve">TASK_RESUMED</t>
  </si>
  <si>
    <t xml:space="preserve">Learner returns to an abandoned or interrupted task</t>
  </si>
  <si>
    <t xml:space="preserve">Derivable from gap &gt; T_idle then activity</t>
  </si>
  <si>
    <t xml:space="preserve">task_id, gap_ms</t>
  </si>
  <si>
    <t xml:space="preserve">PREDICTION_COMMITTED</t>
  </si>
  <si>
    <t xml:space="preserve">Learner saves a prediction before seeing theory or results</t>
  </si>
  <si>
    <t xml:space="preserve">1 (course)</t>
  </si>
  <si>
    <t xml:space="preserve">Already logged; add text with consent and time on slide</t>
  </si>
  <si>
    <t xml:space="preserve">Course-native</t>
  </si>
  <si>
    <t xml:space="preserve">think_submitted, predict_submitted</t>
  </si>
  <si>
    <t xml:space="preserve">slide_id, chars, text, ms_on_slide</t>
  </si>
  <si>
    <t xml:space="preserve">Added in v2</t>
  </si>
  <si>
    <t xml:space="preserve">New (v2)</t>
  </si>
  <si>
    <t xml:space="preserve">REFERENCE_REVEALED</t>
  </si>
  <si>
    <t xml:space="preserve">Learner opens a reference answer or analysis after committing</t>
  </si>
  <si>
    <t xml:space="preserve">Already logged</t>
  </si>
  <si>
    <t xml:space="preserve">predict_revealed, check_revealed, expect_revealed, misconception_opened</t>
  </si>
  <si>
    <t xml:space="preserve">item_id, ms_since_commit</t>
  </si>
  <si>
    <t xml:space="preserve">GAP_NOTED</t>
  </si>
  <si>
    <t xml:space="preserve">Learner records what they missed or would change after the reveal</t>
  </si>
  <si>
    <t xml:space="preserve">Already logged; log text</t>
  </si>
  <si>
    <t xml:space="preserve">check_missed_noted</t>
  </si>
  <si>
    <t xml:space="preserve">item_id, chars, text</t>
  </si>
  <si>
    <t xml:space="preserve">BELIEF_COMMITTED</t>
  </si>
  <si>
    <t xml:space="preserve">Learner commits to true/false on a misconception with a reason</t>
  </si>
  <si>
    <t xml:space="preserve">misconception_committed</t>
  </si>
  <si>
    <t xml:space="preserve">item_id, choice, chars</t>
  </si>
  <si>
    <t xml:space="preserve">BELIEF_REVISED</t>
  </si>
  <si>
    <t xml:space="preserve">Learner states whether their view changed after the explanation</t>
  </si>
  <si>
    <t xml:space="preserve">misconception_changed</t>
  </si>
  <si>
    <t xml:space="preserve">item_id, changed</t>
  </si>
  <si>
    <t xml:space="preserve">RATIONALE_SUBMITTED</t>
  </si>
  <si>
    <t xml:space="preserve">Learner explains the reasoning behind an MCQ choice</t>
  </si>
  <si>
    <t xml:space="preserve">mcq_rationale</t>
  </si>
  <si>
    <t xml:space="preserve">CRITERION_SELF_SCORED</t>
  </si>
  <si>
    <t xml:space="preserve">Learner rates own work on one success criterion</t>
  </si>
  <si>
    <t xml:space="preserve">selfscore_set</t>
  </si>
  <si>
    <t xml:space="preserve">criterion, value (0–2)</t>
  </si>
  <si>
    <t xml:space="preserve">RESULTS_RECORDED</t>
  </si>
  <si>
    <t xml:space="preserve">Learner submits results of an exercise or lab</t>
  </si>
  <si>
    <t xml:space="preserve">Already logged; replace free text with structured lab form (see AI-interaction rows)</t>
  </si>
  <si>
    <t xml:space="preserve">results_submitted</t>
  </si>
  <si>
    <t xml:space="preserve">slide_id, chars, text</t>
  </si>
  <si>
    <t xml:space="preserve">SLIDE_EXITED</t>
  </si>
  <si>
    <t xml:space="preserve">Slide leaves the viewport (gives dwell time)</t>
  </si>
  <si>
    <t xml:space="preserve">0</t>
  </si>
  <si>
    <t xml:space="preserve">Add to IntersectionObserver: log exit with dwell_ms</t>
  </si>
  <si>
    <t xml:space="preserve">Timing &amp; engagement</t>
  </si>
  <si>
    <t xml:space="preserve">FOCUS_LOST</t>
  </si>
  <si>
    <t xml:space="preserve">Browser tab/window loses focus</t>
  </si>
  <si>
    <t xml:space="preserve">window 'blur' / visibilitychange listener</t>
  </si>
  <si>
    <t xml:space="preserve">ts</t>
  </si>
  <si>
    <t xml:space="preserve">FOCUS_RETURNED</t>
  </si>
  <si>
    <t xml:space="preserve">Browser tab/window regains focus</t>
  </si>
  <si>
    <t xml:space="preserve">window 'focus' listener</t>
  </si>
  <si>
    <t xml:space="preserve">ts, away_ms</t>
  </si>
  <si>
    <t xml:space="preserve">IDLE_STARTED</t>
  </si>
  <si>
    <t xml:space="preserve">No input or scroll for longer than T_idle</t>
  </si>
  <si>
    <t xml:space="preserve">Inactivity timer</t>
  </si>
  <si>
    <t xml:space="preserve">ts, idle_ms</t>
  </si>
  <si>
    <t xml:space="preserve">SESSION_STARTED</t>
  </si>
  <si>
    <t xml:space="preserve">Learner begins a study session (course load or resume)</t>
  </si>
  <si>
    <t xml:space="preserve">Log on load with session_id</t>
  </si>
  <si>
    <t xml:space="preserve">session_id, device</t>
  </si>
  <si>
    <t xml:space="preserve">SESSION_ENDED</t>
  </si>
  <si>
    <t xml:space="preserve">Session closes (unload or idle timeout)</t>
  </si>
  <si>
    <t xml:space="preserve">pagehide / idle timeout</t>
  </si>
  <si>
    <t xml:space="preserve">session_id, duration_ms</t>
  </si>
  <si>
    <t xml:space="preserve">RUN_SETTINGS_RECORDED</t>
  </si>
  <si>
    <t xml:space="preserve">Learner records model name, version, sampling settings, tools on/off before an experiment</t>
  </si>
  <si>
    <t xml:space="preserve">Course already asks for this in every exercise; capture as structured fields</t>
  </si>
  <si>
    <t xml:space="preserve">AI interaction</t>
  </si>
  <si>
    <t xml:space="preserve">(currently inside results_submitted free text)</t>
  </si>
  <si>
    <t xml:space="preserve">model, version, temperature, tools</t>
  </si>
  <si>
    <t xml:space="preserve">PROMPT_GOAL_DECLARED</t>
  </si>
  <si>
    <t xml:space="preserve">Learner states goal, audience and output format before the first prompt</t>
  </si>
  <si>
    <t xml:space="preserve">One-line box at the top of each exercise</t>
  </si>
  <si>
    <t xml:space="preserve">goal, audience, format</t>
  </si>
  <si>
    <t xml:space="preserve">PROMPT_SUBMITTED</t>
  </si>
  <si>
    <t xml:space="preserve">Learner sends a prompt to the AI</t>
  </si>
  <si>
    <t xml:space="preserve">Embedded sandbox (API) or paste-back form</t>
  </si>
  <si>
    <t xml:space="preserve">prompt_text, tokens, version_no</t>
  </si>
  <si>
    <t xml:space="preserve">PROMPT_VERSION_SAVED</t>
  </si>
  <si>
    <t xml:space="preserve">Learner saves a named prompt version</t>
  </si>
  <si>
    <t xml:space="preserve">Lab 1.7 already requires saving each version with token count</t>
  </si>
  <si>
    <t xml:space="preserve">(currently free text)</t>
  </si>
  <si>
    <t xml:space="preserve">version_no, prompt_text, tokens, diff_vs_prev</t>
  </si>
  <si>
    <t xml:space="preserve">PROMPT_REVISION_TAGGED</t>
  </si>
  <si>
    <t xml:space="preserve">Learner tags what changed: context, constraint, example, format, role, compression, reasoning</t>
  </si>
  <si>
    <t xml:space="preserve">Tag chips beside each saved version</t>
  </si>
  <si>
    <t xml:space="preserve">tags[]</t>
  </si>
  <si>
    <t xml:space="preserve">TOKEN_COUNT_CHECKED</t>
  </si>
  <si>
    <t xml:space="preserve">Learner uses the course token counter</t>
  </si>
  <si>
    <t xml:space="preserve">Instrument the token counter tool</t>
  </si>
  <si>
    <t xml:space="preserve">string_len, tokens, guess</t>
  </si>
  <si>
    <t xml:space="preserve">AI_OUTPUT_VIEWED</t>
  </si>
  <si>
    <t xml:space="preserve">Learner reads an AI reply for a measurable interval</t>
  </si>
  <si>
    <t xml:space="preserve">Sandbox only: dwell/scroll on reply panel</t>
  </si>
  <si>
    <t xml:space="preserve">response_id, dwell_ms, words</t>
  </si>
  <si>
    <t xml:space="preserve">OUTPUT_REGENERATED</t>
  </si>
  <si>
    <t xml:space="preserve">Learner resamples the same prompt</t>
  </si>
  <si>
    <t xml:space="preserve">Sandbox only</t>
  </si>
  <si>
    <t xml:space="preserve">prompt_version, sample_no, declared_experiment (y/n)</t>
  </si>
  <si>
    <t xml:space="preserve">TEST_CASE_RUN</t>
  </si>
  <si>
    <t xml:space="preserve">Learner runs a prompt version against a test question or case</t>
  </si>
  <si>
    <t xml:space="preserve">Test-case table in lab form</t>
  </si>
  <si>
    <t xml:space="preserve">version_no, case_id</t>
  </si>
  <si>
    <t xml:space="preserve">TEST_RESULT_RECORDED</t>
  </si>
  <si>
    <t xml:space="preserve">Learner records pass/fail and failure reason per test case</t>
  </si>
  <si>
    <t xml:space="preserve">Dropdown: missing fact, ambiguity, instruction dropped, format, other</t>
  </si>
  <si>
    <t xml:space="preserve">case_id, pass, reason</t>
  </si>
  <si>
    <t xml:space="preserve">OUTPUT_RATED</t>
  </si>
  <si>
    <t xml:space="preserve">Learner rates an AI output against rubric criteria</t>
  </si>
  <si>
    <t xml:space="preserve">3–5 criterion rating under each output</t>
  </si>
  <si>
    <t xml:space="preserve">response_id, criteria scores</t>
  </si>
  <si>
    <t xml:space="preserve">OUTPUT_VERIFIED</t>
  </si>
  <si>
    <t xml:space="preserve">Learner checks a claim in the output against the source material</t>
  </si>
  <si>
    <t xml:space="preserve">'Check this claim' control linked to course pack</t>
  </si>
  <si>
    <t xml:space="preserve">response_id, claim, verdict</t>
  </si>
  <si>
    <t xml:space="preserve">OUTPUT_COPIED</t>
  </si>
  <si>
    <t xml:space="preserve">Learner copies AI output</t>
  </si>
  <si>
    <t xml:space="preserve">Clipboard 'copy' listener on reply panel</t>
  </si>
  <si>
    <t xml:space="preserve">response_id, chars</t>
  </si>
  <si>
    <t xml:space="preserve">OUTPUT_PASTED</t>
  </si>
  <si>
    <t xml:space="preserve">Learner pastes AI text into a deliverable or answer box</t>
  </si>
  <si>
    <t xml:space="preserve">'paste' listener on answer fields</t>
  </si>
  <si>
    <t xml:space="preserve">target_field, chars, source_match</t>
  </si>
  <si>
    <t xml:space="preserve">OUTPUT_EDITED</t>
  </si>
  <si>
    <t xml:space="preserve">Learner edits pasted AI text</t>
  </si>
  <si>
    <t xml:space="preserve">Diff between pasted and submitted text</t>
  </si>
  <si>
    <t xml:space="preserve">edit_ratio</t>
  </si>
  <si>
    <t xml:space="preserve">AI_HELP_PROMPT_CLASSIFIED</t>
  </si>
  <si>
    <t xml:space="preserve">System classifies a learner prompt to a tutor/LLM: instrumental, executive, conceptual, verification, off-topic</t>
  </si>
  <si>
    <t xml:space="preserve">LLM classifier + human κ check on a sample</t>
  </si>
  <si>
    <t xml:space="preserve">message_id, label, model_version</t>
  </si>
  <si>
    <t xml:space="preserve">RAPID_RESPONSE_FLAGGED</t>
  </si>
  <si>
    <t xml:space="preserve">System flags a commit near the minimum length within T_rapid of slide entry</t>
  </si>
  <si>
    <t xml:space="preserve">Derived from chars + ms_on_slide</t>
  </si>
  <si>
    <t xml:space="preserve">Disengagement</t>
  </si>
  <si>
    <t xml:space="preserve">item_id, chars, ms_on_slide</t>
  </si>
  <si>
    <t xml:space="preserve">NEXT_ITEM_OPENED</t>
  </si>
  <si>
    <t xml:space="preserve">Learner moves on to the next item or slide</t>
  </si>
  <si>
    <t xml:space="preserve">slide_viewed of next item (was referenced but undefined in v1)</t>
  </si>
  <si>
    <t xml:space="preserve">Definitions for v1 references</t>
  </si>
  <si>
    <t xml:space="preserve">from_item, to_item</t>
  </si>
  <si>
    <t xml:space="preserve">INTERVENTION_DISPLAYED</t>
  </si>
  <si>
    <t xml:space="preserve">System shows a nudge, scaffold or prompt</t>
  </si>
  <si>
    <t xml:space="preserve">Was referenced but undefined in v1</t>
  </si>
  <si>
    <t xml:space="preserve">intervention_id, policy_version, trigger_rule</t>
  </si>
  <si>
    <t xml:space="preserve">INTERVENTION_ACCEPTED</t>
  </si>
  <si>
    <t xml:space="preserve">Learner acts on an intervention</t>
  </si>
  <si>
    <t xml:space="preserve">intervention_id</t>
  </si>
  <si>
    <t xml:space="preserve">INTERVENTION_DISMISSED</t>
  </si>
  <si>
    <t xml:space="preserve">Learner closes or snoozes an intervention</t>
  </si>
  <si>
    <t xml:space="preserve">intervention_id, snooze</t>
  </si>
  <si>
    <t xml:space="preserve">DELAYED_TEST_SUBMITTED</t>
  </si>
  <si>
    <t xml:space="preserve">Learner completes a delayed retention test</t>
  </si>
  <si>
    <t xml:space="preserve">test_id, delay_days, score</t>
  </si>
  <si>
    <t xml:space="preserve">TRANSFER_TASK_SUBMITTED</t>
  </si>
  <si>
    <t xml:space="preserve">Learner completes an unassisted transfer prompt-writing task</t>
  </si>
  <si>
    <t xml:space="preserve">One per module, graded with the same rubric</t>
  </si>
  <si>
    <t xml:space="preserve">task_id, score, ai_access (none)</t>
  </si>
  <si>
    <t xml:space="preserve">WORK_ARTIFACT_SUBMITTED</t>
  </si>
  <si>
    <t xml:space="preserve">Learner submits an authentic work product or a report of applying the skill at work</t>
  </si>
  <si>
    <t xml:space="preserve">Was referenced but undefined in v1. Strip confidential data</t>
  </si>
  <si>
    <t xml:space="preserve">artifact_id, context</t>
  </si>
  <si>
    <t xml:space="preserve">Course event (logEvent type)</t>
  </si>
  <si>
    <t xml:space="preserve">Payload today</t>
  </si>
  <si>
    <t xml:space="preserve">Library action(s)</t>
  </si>
  <si>
    <t xml:space="preserve">Learning process (Mapping ID)</t>
  </si>
  <si>
    <t xml:space="preserve">Payload / instrumentation fix</t>
  </si>
  <si>
    <t xml:space="preserve">slide</t>
  </si>
  <si>
    <t xml:space="preserve">CONTENT_OPENED; CONTENT_REVISITED (derived); EXAMPLE_OPENED / PROBLEM_OPENED / RUBRIC_VIEWED by slide type; NEXT_ITEM_OPENED</t>
  </si>
  <si>
    <t xml:space="preserve">Information access; Re-reading</t>
  </si>
  <si>
    <t xml:space="preserve">Add slide_type, session_id, visit_no; log SLIDE_EXITED with dwell_ms</t>
  </si>
  <si>
    <t xml:space="preserve">think_submitted</t>
  </si>
  <si>
    <t xml:space="preserve">slide, chars</t>
  </si>
  <si>
    <t xml:space="preserve">Forethought (M05)</t>
  </si>
  <si>
    <t xml:space="preserve">Log text (consented) and ms_on_slide</t>
  </si>
  <si>
    <t xml:space="preserve">predict_submitted</t>
  </si>
  <si>
    <t xml:space="preserve">Log text and ms_on_slide; add confidence</t>
  </si>
  <si>
    <t xml:space="preserve">predict_revealed</t>
  </si>
  <si>
    <t xml:space="preserve">Reference comparison (M15)</t>
  </si>
  <si>
    <t xml:space="preserve">Add ms_since_commit</t>
  </si>
  <si>
    <t xml:space="preserve">mcq_answered</t>
  </si>
  <si>
    <t xml:space="preserve">slide, option, correct</t>
  </si>
  <si>
    <t xml:space="preserve">ANSWER_SUBMITTED; CORRECT/INCORRECT_RECORDED; ERROR_TYPE_RECORDED (via distractor tag)</t>
  </si>
  <si>
    <t xml:space="preserve">Active performance; Performance evaluation</t>
  </si>
  <si>
    <t xml:space="preserve">Tag distractors with misconception id; add confidence and attempt_no</t>
  </si>
  <si>
    <t xml:space="preserve">Knowledge building / self-explanation (M04)</t>
  </si>
  <si>
    <t xml:space="preserve">Log text</t>
  </si>
  <si>
    <t xml:space="preserve">slide, item, choice, chars</t>
  </si>
  <si>
    <t xml:space="preserve">Belief revision (M16)</t>
  </si>
  <si>
    <t xml:space="preserve">Log reason text</t>
  </si>
  <si>
    <t xml:space="preserve">slide, item</t>
  </si>
  <si>
    <t xml:space="preserve">REFERENCE_REVEALED; ERROR_REVIEWED</t>
  </si>
  <si>
    <t xml:space="preserve">slide, item, changed</t>
  </si>
  <si>
    <t xml:space="preserve">check_answered</t>
  </si>
  <si>
    <t xml:space="preserve">slide, question, chars</t>
  </si>
  <si>
    <t xml:space="preserve">SELF_CHECK_SUBMITTED; ANSWER_SUBMITTED</t>
  </si>
  <si>
    <t xml:space="preserve">Evaluation (M14)</t>
  </si>
  <si>
    <t xml:space="preserve">check_revealed</t>
  </si>
  <si>
    <t xml:space="preserve">slide, question</t>
  </si>
  <si>
    <t xml:space="preserve">Log text; chars = 0 should be logged as 'no gap stated'</t>
  </si>
  <si>
    <t xml:space="preserve">Active performance</t>
  </si>
  <si>
    <t xml:space="preserve">Replace with structured lab form: RUN_SETTINGS_RECORDED, PROMPT_VERSION_SAVED, TEST_RESULT_RECORDED</t>
  </si>
  <si>
    <t xml:space="preserve">expect_revealed</t>
  </si>
  <si>
    <t xml:space="preserve">REFERENCE_REVEALED; ANSWER_COMPARED</t>
  </si>
  <si>
    <t xml:space="preserve">slide, criterion, value</t>
  </si>
  <si>
    <t xml:space="preserve">CRITERION_SELF_SCORED; RUBRIC_COMPARED</t>
  </si>
  <si>
    <t xml:space="preserve">Evaluation (M14); Calibration (M23)</t>
  </si>
  <si>
    <t xml:space="preserve">Collect an external score on a sample to compute calibration</t>
  </si>
  <si>
    <t xml:space="preserve">reflect_submitted</t>
  </si>
  <si>
    <t xml:space="preserve">REFLECTION_SUBMITTED; GOAL_ENTERED (implementation intention)</t>
  </si>
  <si>
    <t xml:space="preserve">Self-appraisal; forward Planning (M22)</t>
  </si>
  <si>
    <t xml:space="preserve">Split the three reflection prompts into separate fields</t>
  </si>
  <si>
    <t xml:space="preserve">ID</t>
  </si>
  <si>
    <t xml:space="preserve">Action events / sequence</t>
  </si>
  <si>
    <t xml:space="preserve">Event family or learning process</t>
  </si>
  <si>
    <t xml:space="preserve">Theoretical basis</t>
  </si>
  <si>
    <t xml:space="preserve">Mapping rule</t>
  </si>
  <si>
    <t xml:space="preserve">Parameters (see Parameters sheet)</t>
  </si>
  <si>
    <t xml:space="preserve">Evidence class</t>
  </si>
  <si>
    <t xml:space="preserve">Change vs v1</t>
  </si>
  <si>
    <t xml:space="preserve">M01</t>
  </si>
  <si>
    <t xml:space="preserve">INSTRUCTIONS_VIEWED, REQUIREMENTS_VIEWED, RUBRIC_VIEWED (before first attempt)</t>
  </si>
  <si>
    <t xml:space="preserve">Orientation</t>
  </si>
  <si>
    <t xml:space="preserve">COPES and SRL Win17Fan22b; Bannert et al. 2014</t>
  </si>
  <si>
    <t xml:space="preserve">Map to orientation when task conditions or standards are viewed with dwell ≥ T_orient before the first ATTEMPT_STARTED in the task. TASK_OPENED alone is navigation.</t>
  </si>
  <si>
    <t xml:space="preserve">T_orient</t>
  </si>
  <si>
    <t xml:space="preserve">Adopted (FLoRA/Bannert); not yet validated in GALS</t>
  </si>
  <si>
    <t xml:space="preserve">Changed: TASK_OPENED removed as sufficient evidence; RUBRIC_VIEWED added by timing.</t>
  </si>
  <si>
    <t xml:space="preserve">M02</t>
  </si>
  <si>
    <t xml:space="preserve">GOAL_ENTERED, PLAN_CREATED, PLAN_EDITED, PROMPT_GOAL_DECLARED; RESOURCE_SELECTED only within W_plan after a goal/plan</t>
  </si>
  <si>
    <t xml:space="preserve">Planning</t>
  </si>
  <si>
    <t xml:space="preserve">COPES, SMART and SRL Win17Fan22b</t>
  </si>
  <si>
    <t xml:space="preserve">Map to planning when the learner explicitly sets a goal or organizes future actions. A resource selection without a prior goal/plan is Information access.</t>
  </si>
  <si>
    <t xml:space="preserve">W_plan</t>
  </si>
  <si>
    <t xml:space="preserve">Theory-only</t>
  </si>
  <si>
    <t xml:space="preserve">Changed: RESOURCE_SELECTED made conditional; PROMPT_GOAL_DECLARED added.</t>
  </si>
  <si>
    <t xml:space="preserve">M03</t>
  </si>
  <si>
    <t xml:space="preserve">CONTENT_OPENED, CONTENT_VIEWED (dwell ≥ T_read), SEARCH_SUBMITTED, EXAMPLE_OPENED, EXPLANATION_VIEWED</t>
  </si>
  <si>
    <t xml:space="preserve">Information access (first reading)</t>
  </si>
  <si>
    <t xml:space="preserve">SMART and COPES Win17; Bannert 2014</t>
  </si>
  <si>
    <t xml:space="preserve">Map to information access. Do not automatically call it learning or comprehension.</t>
  </si>
  <si>
    <t xml:space="preserve">T_read</t>
  </si>
  <si>
    <t xml:space="preserve">Adopted</t>
  </si>
  <si>
    <t xml:space="preserve">Changed: EXPLANATION_VIEWED moved here; dwell threshold made explicit.</t>
  </si>
  <si>
    <t xml:space="preserve">M03b</t>
  </si>
  <si>
    <t xml:space="preserve">CONTENT_REVISITED not followed by a changed answer within W_seq</t>
  </si>
  <si>
    <t xml:space="preserve">Re-reading</t>
  </si>
  <si>
    <t xml:space="preserve">Bannert 2014 (low cognition); Fan et al. 2022</t>
  </si>
  <si>
    <t xml:space="preserve">Map to re-reading. If followed by ANSWER_REVISED, use M21 instead.</t>
  </si>
  <si>
    <t xml:space="preserve">W_seq</t>
  </si>
  <si>
    <t xml:space="preserve">New: first reading separated from re-reading.</t>
  </si>
  <si>
    <t xml:space="preserve">M04</t>
  </si>
  <si>
    <t xml:space="preserve">NOTE_CREATED, NOTE_EDITED, RATIONALE_SUBMITTED</t>
  </si>
  <si>
    <t xml:space="preserve">Knowledge building / elaboration / self-explanation</t>
  </si>
  <si>
    <t xml:space="preserve">SMART and generative learning Win17Bis18; Dunlosky et al. 2013</t>
  </si>
  <si>
    <t xml:space="preserve">Map to knowledge building when the learner produces or explains something. Weight by length/quality, not presence.</t>
  </si>
  <si>
    <t xml:space="preserve">Changed: EXPLANATION_REQUESTED/VIEWED removed (they were viewing/asking, not producing); RATIONALE_SUBMITTED added.</t>
  </si>
  <si>
    <t xml:space="preserve">M05</t>
  </si>
  <si>
    <t xml:space="preserve">PREDICTION_COMMITTED (before the related theory slide)</t>
  </si>
  <si>
    <t xml:space="preserve">Forethought / prediction</t>
  </si>
  <si>
    <t xml:space="preserve">Zimmerman forethought phase; pretesting effect (Richland, Kornell &amp; Kao 2009)</t>
  </si>
  <si>
    <t xml:space="preserve">Map to forethought when a prediction is committed before the related content is viewed. Low-effort commits go to M24.</t>
  </si>
  <si>
    <t xml:space="preserve">T_rapid, ε_chars</t>
  </si>
  <si>
    <t xml:space="preserve">New (course-native).</t>
  </si>
  <si>
    <t xml:space="preserve">M06</t>
  </si>
  <si>
    <t xml:space="preserve">PROBLEM_OPENED, ATTEMPT_STARTED, STEP_SUBMITTED, ANSWER_SUBMITTED, RESULTS_RECORDED</t>
  </si>
  <si>
    <t xml:space="preserve">COPES and SILC Win17Dec24</t>
  </si>
  <si>
    <t xml:space="preserve">Map to active performance when the learner applies knowledge to produce an answer, decision or work product.</t>
  </si>
  <si>
    <t xml:space="preserve">RESULTS_RECORDED added.</t>
  </si>
  <si>
    <t xml:space="preserve">M07</t>
  </si>
  <si>
    <t xml:space="preserve">CORRECT_RECORDED, INCORRECT_RECORDED, ERROR_TYPE_RECORDED</t>
  </si>
  <si>
    <t xml:space="preserve">Performance evaluation (system)</t>
  </si>
  <si>
    <t xml:space="preserve">COPES Win17</t>
  </si>
  <si>
    <t xml:space="preserve">Treat correctness as immediate performance evidence, not proof of durable learning or understanding.</t>
  </si>
  <si>
    <t xml:space="preserve">M08</t>
  </si>
  <si>
    <t xml:space="preserve">HINT_REQUESTED, HINT_OPENED, EXPLANATION_REQUESTED, TUTOR_MESSAGE_SENT (+ AI_HELP_PROMPT_CLASSIFIED), PEER_HELP_REQUESTED</t>
  </si>
  <si>
    <t xml:space="preserve">Help-seeking or co-regulation</t>
  </si>
  <si>
    <t xml:space="preserve">Social regulation and workplace learning Kit21; Aleven et al. 2006</t>
  </si>
  <si>
    <t xml:space="preserve">Map to help-seeking when assistance is requested. Type it: instrumental vs executive (from classifier and context). A request with no prior attempt in the item is a candidate help-abuse/executive request.</t>
  </si>
  <si>
    <t xml:space="preserve">Changed: EXPLANATION_REQUESTED moved here; help type required.</t>
  </si>
  <si>
    <t xml:space="preserve">M09</t>
  </si>
  <si>
    <t xml:space="preserve">HINT_OPENED → RETRY_STARTED → CORRECT_RECORDED (within W_recover)</t>
  </si>
  <si>
    <t xml:space="preserve">Instrumental help-seeking and recovery</t>
  </si>
  <si>
    <t xml:space="preserve">Help-seeking research Hou25</t>
  </si>
  <si>
    <t xml:space="preserve">Stronger evidence of productive help-seeking: help is followed by changed action and improved performance.</t>
  </si>
  <si>
    <t xml:space="preserve">W_recover</t>
  </si>
  <si>
    <t xml:space="preserve">Time window added.</t>
  </si>
  <si>
    <t xml:space="preserve">M10</t>
  </si>
  <si>
    <t xml:space="preserve">INCORRECT_RECORDED → SOLUTION_REQUESTED → NEXT_ITEM_OPENED (within W_seq)</t>
  </si>
  <si>
    <t xml:space="preserve">Possible answer dependence</t>
  </si>
  <si>
    <t xml:space="preserve">Help-seeking and learner agency Hou25</t>
  </si>
  <si>
    <t xml:space="preserve">Flag as a candidate maladaptive pattern, not a diagnosis. Check later independent performance. Exception: in this course reveals are gated behind the learner's own attempt, so they go to M15, not here.</t>
  </si>
  <si>
    <t xml:space="preserve">NEXT_ITEM defined; course exception added.</t>
  </si>
  <si>
    <t xml:space="preserve">M11</t>
  </si>
  <si>
    <t xml:space="preserve">≥ N_fail INCORRECT_RECORDED on the same item/skill with no HINT, EXPLANATION or RETURN_TO_CONTENT</t>
  </si>
  <si>
    <t xml:space="preserve">Help avoidance (candidate)</t>
  </si>
  <si>
    <t xml:space="preserve">Aleven et al. 2006</t>
  </si>
  <si>
    <t xml:space="preserve">Flag as candidate help avoidance. Consider prior mastery before intervening.</t>
  </si>
  <si>
    <t xml:space="preserve">N_fail, W_seq</t>
  </si>
  <si>
    <t xml:space="preserve">New.</t>
  </si>
  <si>
    <t xml:space="preserve">M12</t>
  </si>
  <si>
    <t xml:space="preserve">HELP_DISMISSED, INTERVENTION_DISMISSED</t>
  </si>
  <si>
    <t xml:space="preserve">Support declined</t>
  </si>
  <si>
    <t xml:space="preserve">Learner agency Win20Lim23</t>
  </si>
  <si>
    <t xml:space="preserve">Treat as preference or burden, not disengagement. Feeds intervention cooldown.</t>
  </si>
  <si>
    <t xml:space="preserve">New: HELP_DISMISSED was unmapped in v1.</t>
  </si>
  <si>
    <t xml:space="preserve">M13</t>
  </si>
  <si>
    <t xml:space="preserve">CONFIDENCE_RATED; PROGRESS_VIEWED / SCORE_VIEWED only if followed by a changed action within W_mon</t>
  </si>
  <si>
    <t xml:space="preserve">Monitoring</t>
  </si>
  <si>
    <t xml:space="preserve">COPES and SRL Win17Fan22b; MetaTutor JOL (Azevedo)</t>
  </si>
  <si>
    <t xml:space="preserve">Confidence ratings are direct monitoring evidence. Status views alone are 'status check', not monitoring.</t>
  </si>
  <si>
    <t xml:space="preserve">W_mon</t>
  </si>
  <si>
    <t xml:space="preserve">Changed: status views made conditional.</t>
  </si>
  <si>
    <t xml:space="preserve">M14</t>
  </si>
  <si>
    <t xml:space="preserve">RUBRIC_COMPARED, ANSWER_COMPARED, SELF_CHECK_SUBMITTED, CRITERION_SELF_SCORED; RUBRIC_VIEWED after an attempt</t>
  </si>
  <si>
    <t xml:space="preserve">Evaluation</t>
  </si>
  <si>
    <t xml:space="preserve">COPES and construct validity Win17Win20</t>
  </si>
  <si>
    <t xml:space="preserve">Map to evaluation when the learner compares performance against a standard or criterion.</t>
  </si>
  <si>
    <t xml:space="preserve">CRITERION_SELF_SCORED added; RUBRIC_VIEWED timing rule.</t>
  </si>
  <si>
    <t xml:space="preserve">M15</t>
  </si>
  <si>
    <t xml:space="preserve">PREDICTION_COMMITTED or ANSWER_SUBMITTED → REFERENCE_REVEALED → GAP_NOTED (chars &gt; 0)</t>
  </si>
  <si>
    <t xml:space="preserve">Evaluation with self-identified gap</t>
  </si>
  <si>
    <t xml:space="preserve">SRL evaluation (Bannert 2014); Winne trace methodology</t>
  </si>
  <si>
    <t xml:space="preserve">Strongest course evidence of evaluation. Without GAP_NOTED, code as 'reference exposure' only.</t>
  </si>
  <si>
    <t xml:space="preserve">M16</t>
  </si>
  <si>
    <t xml:space="preserve">BELIEF_COMMITTED → REFERENCE_REVEALED → BELIEF_REVISED</t>
  </si>
  <si>
    <t xml:space="preserve">Belief revision (monitoring → regulation)</t>
  </si>
  <si>
    <t xml:space="preserve">Conceptual change; SRL monitoring and control</t>
  </si>
  <si>
    <t xml:space="preserve">changed = yes after a wrong commit → regulation. changed = no after a correct commit → confirmation. changed = no after a wrong commit → candidate persistent misconception.</t>
  </si>
  <si>
    <t xml:space="preserve">M17</t>
  </si>
  <si>
    <t xml:space="preserve">RUBRIC_VIEWED → PLAN_EDITED → ANSWER_REVISED</t>
  </si>
  <si>
    <t xml:space="preserve">Monitoring followed by regulation</t>
  </si>
  <si>
    <t xml:space="preserve">SRL Fan22bWin17</t>
  </si>
  <si>
    <t xml:space="preserve">Use the sequence to distinguish purposeful monitoring from accidental rubric access.</t>
  </si>
  <si>
    <t xml:space="preserve">M18</t>
  </si>
  <si>
    <t xml:space="preserve">INCORRECT_RECORDED → RETURN_TO_CONTENT → RETRY_STARTED</t>
  </si>
  <si>
    <t xml:space="preserve">Recovery or adaptive regulation</t>
  </si>
  <si>
    <t xml:space="preserve">SRL and SILC Win17Dec24</t>
  </si>
  <si>
    <t xml:space="preserve">Map to recovery when the learner changes activity after difficulty and attempts the task again.</t>
  </si>
  <si>
    <t xml:space="preserve">M19</t>
  </si>
  <si>
    <t xml:space="preserve">RESOURCE_CHANGED → RETRY_STARTED; PLAN_EDITED</t>
  </si>
  <si>
    <t xml:space="preserve">Strategy adaptation</t>
  </si>
  <si>
    <t xml:space="preserve">SRL and COPES Win17</t>
  </si>
  <si>
    <t xml:space="preserve">Map to adaptation when a change of resource or plan is followed by a new attempt. RESOURCE_CHANGED alone is navigation.</t>
  </si>
  <si>
    <t xml:space="preserve">Changed: RESOURCE_CHANGED alone removed.</t>
  </si>
  <si>
    <t xml:space="preserve">M20</t>
  </si>
  <si>
    <t xml:space="preserve">TASK_ABANDONED, TASK_RESUMED, FOCUS_LOST, IDLE_STARTED</t>
  </si>
  <si>
    <t xml:space="preserve">Persistence, interruption, or disengagement candidate</t>
  </si>
  <si>
    <t xml:space="preserve">Workplace learning and SILC Dec24Kit21</t>
  </si>
  <si>
    <t xml:space="preserve">Abandonment is ambiguous. Use focus, idle and resumption data to distinguish interruption from disengagement.</t>
  </si>
  <si>
    <t xml:space="preserve">T_idle</t>
  </si>
  <si>
    <t xml:space="preserve">FOCUS/IDLE events now defined (were referenced but missing).</t>
  </si>
  <si>
    <t xml:space="preserve">M21</t>
  </si>
  <si>
    <t xml:space="preserve">CONTENT_REVISITED → ANSWER_REVISED</t>
  </si>
  <si>
    <t xml:space="preserve">Knowledge-based regulation</t>
  </si>
  <si>
    <t xml:space="preserve">COPES and SRL Win17</t>
  </si>
  <si>
    <t xml:space="preserve">Map to regulation or recovery when returning to content is followed by a changed answer or work product.</t>
  </si>
  <si>
    <t xml:space="preserve">M22</t>
  </si>
  <si>
    <t xml:space="preserve">REFLECTION_SUBMITTED (incl. implementation intention)</t>
  </si>
  <si>
    <t xml:space="preserve">Self-appraisal; forward planning</t>
  </si>
  <si>
    <t xml:space="preserve">SILC Dec24; implementation intentions (Gollwitzer 1999)</t>
  </si>
  <si>
    <t xml:space="preserve">Map to appraisal when the learner evaluates result, difficulty or strategy. The 'next real task I will…' clause also counts as forward planning.</t>
  </si>
  <si>
    <t xml:space="preserve">Implementation-intention split added.</t>
  </si>
  <si>
    <t xml:space="preserve">M23</t>
  </si>
  <si>
    <t xml:space="preserve">CONFIDENCE_RATED vs CORRECT/INCORRECT; CRITERION_SELF_SCORED vs external score</t>
  </si>
  <si>
    <t xml:space="preserve">Calibration (monitoring accuracy)</t>
  </si>
  <si>
    <t xml:space="preserve">Schraw 2009</t>
  </si>
  <si>
    <t xml:space="preserve">Compute bias (over/under-confidence) and absolute accuracy per learner over a module, not per item.</t>
  </si>
  <si>
    <t xml:space="preserve">M24</t>
  </si>
  <si>
    <t xml:space="preserve">PREDICTION_COMMITTED or ANSWER_SUBMITTED with chars ≤ min + ε_chars and ms_on_slide &lt; T_rapid, then REFERENCE_REVEALED</t>
  </si>
  <si>
    <t xml:space="preserve">Low-effort commitment / gaming candidate</t>
  </si>
  <si>
    <t xml:space="preserve">Baker et al. 2004, 2008</t>
  </si>
  <si>
    <t xml:space="preserve">Flag as a candidate, never a diagnosis. Fast + short can also be genuine prior knowledge: check later performance.</t>
  </si>
  <si>
    <t xml:space="preserve">M25</t>
  </si>
  <si>
    <t xml:space="preserve">FOCUS_LOST or IDLE_STARTED &gt; T_idle</t>
  </si>
  <si>
    <t xml:space="preserve">Off-task / idle time</t>
  </si>
  <si>
    <t xml:space="preserve">FLoRA OFF_TASK; Kovanović et al. 2015</t>
  </si>
  <si>
    <t xml:space="preserve">Exclude from time-on-task. Do not treat as disengagement without other evidence (adults are interrupted by work).</t>
  </si>
  <si>
    <t xml:space="preserve">M26</t>
  </si>
  <si>
    <t xml:space="preserve">RUN_SETTINGS_RECORDED and PROMPT_GOAL_DECLARED before first PROMPT_SUBMITTED</t>
  </si>
  <si>
    <t xml:space="preserve">Planning (AI task)</t>
  </si>
  <si>
    <t xml:space="preserve">SRL planning; Choi et al. 2025 (prompt context)</t>
  </si>
  <si>
    <t xml:space="preserve">Map to planning for an AI experiment.</t>
  </si>
  <si>
    <t xml:space="preserve">New (AI interaction).</t>
  </si>
  <si>
    <t xml:space="preserve">M27</t>
  </si>
  <si>
    <t xml:space="preserve">AI_OUTPUT_VIEWED (dwell ≥ T_out) → OUTPUT_RATED or TEST_RESULT_RECORDED → PROMPT_VERSION_SAVED (diff &gt; 0)</t>
  </si>
  <si>
    <t xml:space="preserve">Evaluation-driven prompt revision</t>
  </si>
  <si>
    <t xml:space="preserve">SRL evaluation → control; Chen et al. 2025</t>
  </si>
  <si>
    <t xml:space="preserve">Strongest evidence of regulated prompting: the learner read, judged, then revised.</t>
  </si>
  <si>
    <t xml:space="preserve">T_out, W_seq</t>
  </si>
  <si>
    <t xml:space="preserve">M28</t>
  </si>
  <si>
    <t xml:space="preserve">PROMPT_SUBMITTED → output dwell &lt; T_out → OUTPUT_REGENERATED or new PROMPT_SUBMITTED, no rating</t>
  </si>
  <si>
    <t xml:space="preserve">Unreflective regeneration (candidate)</t>
  </si>
  <si>
    <t xml:space="preserve">Chen et al. 2025 (skipped evaluation)</t>
  </si>
  <si>
    <t xml:space="preserve">Candidate. Exclude when declared_experiment = yes (the course asks for multiple samples on purpose).</t>
  </si>
  <si>
    <t xml:space="preserve">T_out</t>
  </si>
  <si>
    <t xml:space="preserve">M29</t>
  </si>
  <si>
    <t xml:space="preserve">TEST_CASE_RUN on ≥ 2 cases per version + TEST_RESULT_RECORDED</t>
  </si>
  <si>
    <t xml:space="preserve">Systematic testing</t>
  </si>
  <si>
    <t xml:space="preserve">Prompt evaluation practice (course Session 6)</t>
  </si>
  <si>
    <t xml:space="preserve">Map to systematic evaluation. Count versions tested, not prompts sent.</t>
  </si>
  <si>
    <t xml:space="preserve">M30</t>
  </si>
  <si>
    <t xml:space="preserve">AI_OUTPUT_VIEWED → OUTPUT_VERIFIED</t>
  </si>
  <si>
    <t xml:space="preserve">Verification / critical evaluation</t>
  </si>
  <si>
    <t xml:space="preserve">Lee et al. 2025 (CHI); McNichols et al. 2026</t>
  </si>
  <si>
    <t xml:space="preserve">Map to evaluation of AI output. Track rate per module: verification is rare by default.</t>
  </si>
  <si>
    <t xml:space="preserve">M31</t>
  </si>
  <si>
    <t xml:space="preserve">OUTPUT_COPIED → OUTPUT_PASTED with no OUTPUT_EDITED or OUTPUT_VERIFIED within W_seq</t>
  </si>
  <si>
    <t xml:space="preserve">Passive reliance (candidate)</t>
  </si>
  <si>
    <t xml:space="preserve">ICAP response use (Jin et al. 2026); Fan et al. 2025</t>
  </si>
  <si>
    <t xml:space="preserve">Candidate passive use. Check against unassisted transfer performance before acting.</t>
  </si>
  <si>
    <t xml:space="preserve">M32</t>
  </si>
  <si>
    <t xml:space="preserve">OUTPUT_PASTED → OUTPUT_EDITED (edit_ratio ≥ E_edit)</t>
  </si>
  <si>
    <t xml:space="preserve">Active / constructive use of AI output</t>
  </si>
  <si>
    <t xml:space="preserve">ICAP (Chi &amp; Wylie 2014); Jin et al. 2026</t>
  </si>
  <si>
    <t xml:space="preserve">Map to active use; constructive if the learner adds new reasoning or content.</t>
  </si>
  <si>
    <t xml:space="preserve">E_edit</t>
  </si>
  <si>
    <t xml:space="preserve">M33</t>
  </si>
  <si>
    <t xml:space="preserve">Help-seeking type with an LLM</t>
  </si>
  <si>
    <t xml:space="preserve">Chen et al. 2025; McNichols et al. 2026</t>
  </si>
  <si>
    <t xml:space="preserve">Executive = asking for the finished product; instrumental = hint/explanation; conceptual = why/how; verification = checking. Report human–LLM κ before use.</t>
  </si>
  <si>
    <t xml:space="preserve">M34</t>
  </si>
  <si>
    <t xml:space="preserve">INTERVENTION_DISPLAYED → INTERVENTION_ACCEPTED → target action</t>
  </si>
  <si>
    <t xml:space="preserve">Intervention uptake</t>
  </si>
  <si>
    <t xml:space="preserve">Learner agency and consequential validity Win20Lim23</t>
  </si>
  <si>
    <t xml:space="preserve">Record that the intervention was used and followed by the intended action; do not assume learning occurred.</t>
  </si>
  <si>
    <t xml:space="preserve">Events now defined.</t>
  </si>
  <si>
    <t xml:space="preserve">M35</t>
  </si>
  <si>
    <t xml:space="preserve">DELAYED_TEST_SUBMITTED, TRANSFER_TASK_SUBMITTED, WORK_ARTIFACT_SUBMITTED</t>
  </si>
  <si>
    <t xml:space="preserve">Retention, transfer, or authentic performance</t>
  </si>
  <si>
    <t xml:space="preserve">Validity and causal inference Win20Tad21; Bastani et al. 2025</t>
  </si>
  <si>
    <t xml:space="preserve">Independent outcomes for validating whether an inferred process mattered. Transfer task must be done without AI access.</t>
  </si>
  <si>
    <t xml:space="preserve">Events now defined; unassisted transfer specified.</t>
  </si>
  <si>
    <t xml:space="preserve">Parameter</t>
  </si>
  <si>
    <t xml:space="preserve">Used in</t>
  </si>
  <si>
    <t xml:space="preserve">Starting value</t>
  </si>
  <si>
    <t xml:space="preserve">Unit</t>
  </si>
  <si>
    <t xml:space="preserve">Rationale</t>
  </si>
  <si>
    <t xml:space="preserve">How to calibrate</t>
  </si>
  <si>
    <t xml:space="preserve">10</t>
  </si>
  <si>
    <t xml:space="preserve">seconds</t>
  </si>
  <si>
    <t xml:space="preserve">Shortest dwell that plausibly counts as reading a slide. Scale by slide word count once dwell is logged.</t>
  </si>
  <si>
    <t xml:space="preserve">Set to ~25th percentile of dwell per slide type in pilot data.</t>
  </si>
  <si>
    <t xml:space="preserve">15</t>
  </si>
  <si>
    <t xml:space="preserve">Minimum dwell on objectives/criteria to count as orientation.</t>
  </si>
  <si>
    <t xml:space="preserve">Pilot percentiles; check against think-aloud.</t>
  </si>
  <si>
    <t xml:space="preserve">M27, M28</t>
  </si>
  <si>
    <t xml:space="preserve">max(5, words ÷ 4)</t>
  </si>
  <si>
    <t xml:space="preserve">~4 words/s skim speed for an AI reply.</t>
  </si>
  <si>
    <t xml:space="preserve">Pilot: compare with think-aloud 'read the output' codes.</t>
  </si>
  <si>
    <t xml:space="preserve">M20, M25</t>
  </si>
  <si>
    <t xml:space="preserve">120</t>
  </si>
  <si>
    <t xml:space="preserve">No input/scroll before a gap is treated as idle. Fixed cut-offs change results (Kovanović et al. 2015).</t>
  </si>
  <si>
    <t xml:space="preserve">Set per activity type from pilot distribution; report sensitivity analysis at 60/120/300 s.</t>
  </si>
  <si>
    <t xml:space="preserve">T_rapid</t>
  </si>
  <si>
    <t xml:space="preserve">seconds on slide</t>
  </si>
  <si>
    <t xml:space="preserve">Time too short to read the prompt and write a considered answer.</t>
  </si>
  <si>
    <t xml:space="preserve">Pilot percentiles per slide type.</t>
  </si>
  <si>
    <t xml:space="preserve">ε_chars</t>
  </si>
  <si>
    <t xml:space="preserve">M05, M24</t>
  </si>
  <si>
    <t xml:space="preserve">characters above the minimum</t>
  </si>
  <si>
    <t xml:space="preserve">Course gates require ≥ 20 chars (≥ 8 for misconception reasons).</t>
  </si>
  <si>
    <t xml:space="preserve">Inspect pilot text of near-minimum commits.</t>
  </si>
  <si>
    <t xml:space="preserve">Most sequences</t>
  </si>
  <si>
    <t xml:space="preserve">Same activity, ≤ 10 min</t>
  </si>
  <si>
    <t xml:space="preserve">minutes</t>
  </si>
  <si>
    <t xml:space="preserve">Default window for A → B sequences.</t>
  </si>
  <si>
    <t xml:space="preserve">Vary 5/10/20 min; keep the value that best matches think-aloud.</t>
  </si>
  <si>
    <t xml:space="preserve">5</t>
  </si>
  <si>
    <t xml:space="preserve">Resource choice must follow a goal/plan this closely to count as planning.</t>
  </si>
  <si>
    <t xml:space="preserve">Pilot.</t>
  </si>
  <si>
    <t xml:space="preserve">Status view must be followed by a changed action this closely.</t>
  </si>
  <si>
    <t xml:space="preserve">Help → retry → correct window.</t>
  </si>
  <si>
    <t xml:space="preserve">N_fail</t>
  </si>
  <si>
    <t xml:space="preserve">2</t>
  </si>
  <si>
    <t xml:space="preserve">incorrect attempts</t>
  </si>
  <si>
    <t xml:space="preserve">Repeated failure threshold for help avoidance.</t>
  </si>
  <si>
    <t xml:space="preserve">Adjust per item difficulty.</t>
  </si>
  <si>
    <t xml:space="preserve">0.15</t>
  </si>
  <si>
    <t xml:space="preserve">edit ratio (changed chars ÷ pasted chars)</t>
  </si>
  <si>
    <t xml:space="preserve">Distinguishes real editing from trivial touch-ups.</t>
  </si>
  <si>
    <t xml:space="preserve">Pilot; inspect examples around the threshold.</t>
  </si>
  <si>
    <t xml:space="preserve">Fill blue cells with segment counts from the think-aloud alignment. Formulas compute the indicators used by Fan et al. (2022). Example row is illustrative only — delete it once real data exists.</t>
  </si>
  <si>
    <t xml:space="preserve">Mapping ID</t>
  </si>
  <si>
    <t xml:space="preserve">Process</t>
  </si>
  <si>
    <t xml:space="preserve">Both coded (TP)</t>
  </si>
  <si>
    <t xml:space="preserve">Trace only (FP)</t>
  </si>
  <si>
    <t xml:space="preserve">Think-aloud only (FN)</t>
  </si>
  <si>
    <t xml:space="preserve">Neither (TN)</t>
  </si>
  <si>
    <t xml:space="preserve">Total segments</t>
  </si>
  <si>
    <t xml:space="preserve">Match rate</t>
  </si>
  <si>
    <t xml:space="preserve">Sensitivity</t>
  </si>
  <si>
    <t xml:space="preserve">Specificity</t>
  </si>
  <si>
    <t xml:space="preserve">Notes</t>
  </si>
  <si>
    <t xml:space="preserve">EXAMPLE</t>
  </si>
  <si>
    <t xml:space="preserve">Illustrative only</t>
  </si>
  <si>
    <t xml:space="preserve">Illustrative numbers, not real data</t>
  </si>
  <si>
    <t xml:space="preserve">Pooled (excl. example)</t>
  </si>
  <si>
    <t xml:space="preserve">Benchmark: Fan et al. (2022) reached ~55% overall match after think-aloud-informed revision (35–39% before). Treat processes with low specificity as indicative only.</t>
  </si>
  <si>
    <t xml:space="preserve">Area</t>
  </si>
  <si>
    <t xml:space="preserve">Change</t>
  </si>
  <si>
    <t xml:space="preserve">Reason</t>
  </si>
  <si>
    <t xml:space="preserve">Structure</t>
  </si>
  <si>
    <t xml:space="preserve">Added Layer (raw / system / derived), Group, course source, required payload fields and status to every action event.</t>
  </si>
  <si>
    <t xml:space="preserve">v1 mixed raw clicks and inferred states without saying which is which.</t>
  </si>
  <si>
    <t xml:space="preserve">Added Course Crosswalk sheet.</t>
  </si>
  <si>
    <t xml:space="preserve">v1 and the course used different event vocabularies; nothing linked them.</t>
  </si>
  <si>
    <t xml:space="preserve">Added Parameters and Validation sheets; every sequence rule now has a time window or threshold.</t>
  </si>
  <si>
    <t xml:space="preserve">v1 rules had no windows, dwell thresholds or validation targets.</t>
  </si>
  <si>
    <t xml:space="preserve">Action events</t>
  </si>
  <si>
    <t xml:space="preserve">Added 8 course-native events (prediction, reveal, gap noted, belief commit/revise, rationale, criterion self-score, results).</t>
  </si>
  <si>
    <t xml:space="preserve">The course already logs these; they are its best metacognitive evidence.</t>
  </si>
  <si>
    <t xml:space="preserve">Added 6 timing/engagement events (slide exit/dwell, focus lost/returned, idle, session start/end).</t>
  </si>
  <si>
    <t xml:space="preserve">Needed for CONTENT_VIEWED, TASK_ABANDONED and time-on-task, which v1 referenced but could not compute.</t>
  </si>
  <si>
    <t xml:space="preserve">Added 16 AI-interaction events (run settings, goal, prompt submit/version/tag, token check, output viewed/regenerated/rated/verified/copied/pasted/edited, test case/result, help classification).</t>
  </si>
  <si>
    <t xml:space="preserve">The prompting course's core skill was invisible to v1.</t>
  </si>
  <si>
    <t xml:space="preserve">Added 1 disengagement event (rapid response) and defined 7 events v1 referenced but never defined (NEXT_ITEM, INTERVENTION_*, DELAYED_TEST, TRANSFER_TASK, WORK_ARTIFACT).</t>
  </si>
  <si>
    <t xml:space="preserve">Mapping rows used undefined events.</t>
  </si>
  <si>
    <t xml:space="preserve">GALS updated to 1 for REFLECTION_SUBMITTED, SELF_CHECK_SUBMITTED, RUBRIC_COMPARED, ANSWER_COMPARED, EXAMPLE_OPENED.</t>
  </si>
  <si>
    <t xml:space="preserve">The course already captures these.</t>
  </si>
  <si>
    <t xml:space="preserve">Mapping</t>
  </si>
  <si>
    <t xml:space="preserve">Orientation no longer triggered by TASK_OPENED alone; RUBRIC_VIEWED mapped by timing (before attempt = orientation, after = evaluation).</t>
  </si>
  <si>
    <t xml:space="preserve">Opening a task is navigation; one event was in two families.</t>
  </si>
  <si>
    <t xml:space="preserve">RESOURCE_SELECTED counts as planning only after a goal/plan; RESOURCE_CHANGED alone no longer = adaptation.</t>
  </si>
  <si>
    <t xml:space="preserve">Selection without intent is information access or navigation.</t>
  </si>
  <si>
    <t xml:space="preserve">EXPLANATION_REQUESTED → help-seeking; EXPLANATION_VIEWED → information access.</t>
  </si>
  <si>
    <t xml:space="preserve">v1 placed them in knowledge building, contradicting its own 'produce, not view' rule.</t>
  </si>
  <si>
    <t xml:space="preserve">PROGRESS_VIEWED / SCORE_VIEWED count as monitoring only if a changed action follows.</t>
  </si>
  <si>
    <t xml:space="preserve">The course progress counter is always visible; viewing it is not an action.</t>
  </si>
  <si>
    <t xml:space="preserve">Reference reveals in the course are gated behind the learner's own attempt, so they are mapped to evaluation (M15), not answer dependence (M10).</t>
  </si>
  <si>
    <t xml:space="preserve">Avoids mislabelling a designed reveal as maladaptive help-seeking.</t>
  </si>
  <si>
    <t xml:space="preserve">Added re-reading (M03b), forethought (M05), help avoidance (M11), support declined (M12), reference comparison (M15), belief revision (M16), calibration (M23), low-effort/gaming (M24), off-task (M25) and 8 AI-interaction rules (M26–M33).</t>
  </si>
  <si>
    <t xml:space="preserve">Gap analysis against Bannert, Aleven, Baker, Schraw and GenAI interaction studies.</t>
  </si>
  <si>
    <t xml:space="preserve">Added an evidence class to every rule (theory-only / adopted / validated in GALS).</t>
  </si>
  <si>
    <t xml:space="preserve">No rule is yet validated in GALS; this makes that visible.</t>
  </si>
  <si>
    <t xml:space="preserve">Source / code</t>
  </si>
  <si>
    <t xml:space="preserve">Reference</t>
  </si>
  <si>
    <t xml:space="preserve">Win17 / Win20 / Fan22b / Bis18 / Dec24 / Kit21 / Hou25 / Lim23 / Tad21</t>
  </si>
  <si>
    <t xml:space="preserve">Codes from v1 of this library and the pipeline document; see its reference list.</t>
  </si>
  <si>
    <t xml:space="preserve">Toward meta-cognitive tutoring: A model of help seeking with a Cognitive Tutor. IJAIED 16(2).</t>
  </si>
  <si>
    <t xml:space="preserve">Baker et al. 2004; 2008</t>
  </si>
  <si>
    <t xml:space="preserve">Off-task behavior in the Cognitive Tutor classroom (CHI 2004); Developing a generalizable detector of when students game the system (UMUAI 2008).</t>
  </si>
  <si>
    <t xml:space="preserve">Bannert, Reimann &amp; Sonnenberg 2014</t>
  </si>
  <si>
    <t xml:space="preserve">Process mining techniques for analysing patterns and strategies in students' self-regulated learning. Metacognition and Learning 9.</t>
  </si>
  <si>
    <t xml:space="preserve">Bastani et al. 2025</t>
  </si>
  <si>
    <t xml:space="preserve">Generative AI without guardrails can harm learning: Evidence from high school mathematics. PNAS.</t>
  </si>
  <si>
    <t xml:space="preserve">Chen et al. 2025</t>
  </si>
  <si>
    <t xml:space="preserve">Unpacking help-seeking process through multimodal learning analytics: ChatGPT vs human expert. Computers &amp; Education 226.</t>
  </si>
  <si>
    <t xml:space="preserve">Chi &amp; Wylie 2014</t>
  </si>
  <si>
    <t xml:space="preserve">The ICAP framework. Educational Psychologist 49(4).</t>
  </si>
  <si>
    <t xml:space="preserve">Choi et al. 2025</t>
  </si>
  <si>
    <t xml:space="preserve">Effects of prompt elements on problem-solving performance and user experience. SAGE Open.</t>
  </si>
  <si>
    <t xml:space="preserve">Dunlosky et al. 2013</t>
  </si>
  <si>
    <t xml:space="preserve">Improving students' learning with effective learning techniques. Psychological Science in the Public Interest 14(1).</t>
  </si>
  <si>
    <t xml:space="preserve">Fan et al. 2022</t>
  </si>
  <si>
    <t xml:space="preserve">Towards investigating the validity of measurement of self-regulated learning based on trace data. Metacognition and Learning 17.</t>
  </si>
  <si>
    <t xml:space="preserve">Fan et al. 2025</t>
  </si>
  <si>
    <t xml:space="preserve">Beware of metacognitive laziness. British Journal of Educational Technology.</t>
  </si>
  <si>
    <t xml:space="preserve">Gollwitzer 1999</t>
  </si>
  <si>
    <t xml:space="preserve">Implementation intentions. American Psychologist 54(7).</t>
  </si>
  <si>
    <t xml:space="preserve">Jin et al. 2026</t>
  </si>
  <si>
    <t xml:space="preserve">RelianceScope (L@S 2026; arXiv 2602.16251).</t>
  </si>
  <si>
    <t xml:space="preserve">Kovanović et al. 2015</t>
  </si>
  <si>
    <t xml:space="preserve">Does time-on-task estimation matter? Journal of Learning Analytics 2(3).</t>
  </si>
  <si>
    <t xml:space="preserve">Lee et al. 2025</t>
  </si>
  <si>
    <t xml:space="preserve">The impact of generative AI on critical thinking: survey of knowledge workers. CHI 2025.</t>
  </si>
  <si>
    <t xml:space="preserve">McNichols, Ikram &amp; Lan 2026</t>
  </si>
  <si>
    <t xml:space="preserve">StudyChat (LAK 2026; arXiv 2503.07928).</t>
  </si>
  <si>
    <t xml:space="preserve">Richland, Kornell &amp; Kao 2009</t>
  </si>
  <si>
    <t xml:space="preserve">The pretesting effect. Journal of Experimental Psychology: Applied 15(3).</t>
  </si>
  <si>
    <t xml:space="preserve">A conceptual analysis of five measures of metacognitive monitoring. Metacognition and Learning 4.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</si>
</sst>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0"/>
      <charset val="1"/>
    </font>
    <font>
      <sz val="10"/>
      <name val="Times New Roman"/>
      <family val="0"/>
      <charset val="1"/>
    </font>
    <font>
      <b val="true"/>
      <sz val="10"/>
      <name val="Times New Roman"/>
      <family val="0"/>
      <charset val="1"/>
    </font>
    <font>
      <sz val="10"/>
      <color rgb="FF0000FF"/>
      <name val="Times New Roman"/>
      <family val="0"/>
      <charset val="1"/>
    </font>
    <font>
      <i val="true"/>
      <sz val="10"/>
      <name val="Times New Roman"/>
      <family val="0"/>
      <charset val="1"/>
    </font>
    <font>
      <i val="true"/>
      <sz val="10"/>
      <color rgb="FF808080"/>
      <name val="Times New Roman"/>
      <family val="0"/>
      <charset val="1"/>
    </font>
    <font>
      <sz val="10"/>
      <color rgb="FF00000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E2F0D9"/>
      </patternFill>
    </fill>
    <fill>
      <patternFill patternType="solid">
        <fgColor rgb="FFE2F0D9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9D9D9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12</v>
      </c>
    </row>
    <row r="17" customFormat="false" ht="23.85" hidden="false" customHeight="false" outlineLevel="0" collapsed="false">
      <c r="A17" s="3" t="s">
        <v>13</v>
      </c>
    </row>
    <row r="18" customFormat="false" ht="23.85" hidden="false" customHeight="false" outlineLevel="0" collapsed="false">
      <c r="A18" s="3" t="s">
        <v>14</v>
      </c>
    </row>
    <row r="19" customFormat="false" ht="23.85" hidden="false" customHeight="false" outlineLevel="0" collapsed="false">
      <c r="A19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36"/>
    <col collapsed="false" customWidth="true" hidden="false" outlineLevel="0" max="4" min="4" style="1" width="10"/>
    <col collapsed="false" customWidth="true" hidden="false" outlineLevel="0" max="5" min="5" style="1" width="40"/>
    <col collapsed="false" customWidth="true" hidden="false" outlineLevel="0" max="6" min="6" style="1" width="9"/>
    <col collapsed="false" customWidth="true" hidden="false" outlineLevel="0" max="7" min="7" style="1" width="18"/>
    <col collapsed="false" customWidth="true" hidden="false" outlineLevel="0" max="8" min="8" style="1" width="34"/>
    <col collapsed="false" customWidth="true" hidden="false" outlineLevel="0" max="9" min="9" style="1" width="28"/>
    <col collapsed="false" customWidth="true" hidden="false" outlineLevel="0" max="10" min="10" style="1" width="40"/>
    <col collapsed="false" customWidth="true" hidden="false" outlineLevel="0" max="11" min="11" style="1" width="10"/>
  </cols>
  <sheetData>
    <row r="1" customFormat="false" ht="15" hidden="false" customHeight="fals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</row>
    <row r="2" customFormat="false" ht="23.85" hidden="false" customHeight="false" outlineLevel="0" collapsed="false">
      <c r="A2" s="6" t="n">
        <v>1</v>
      </c>
      <c r="B2" s="6" t="s">
        <v>27</v>
      </c>
      <c r="C2" s="6" t="s">
        <v>28</v>
      </c>
      <c r="D2" s="6" t="n">
        <v>1</v>
      </c>
      <c r="E2" s="6"/>
      <c r="F2" s="6" t="s">
        <v>29</v>
      </c>
      <c r="G2" s="6" t="s">
        <v>30</v>
      </c>
      <c r="H2" s="6" t="s">
        <v>31</v>
      </c>
      <c r="I2" s="6" t="s">
        <v>32</v>
      </c>
      <c r="J2" s="6" t="s">
        <v>33</v>
      </c>
      <c r="K2" s="6" t="s">
        <v>34</v>
      </c>
    </row>
    <row r="3" customFormat="false" ht="46.25" hidden="false" customHeight="false" outlineLevel="0" collapsed="false">
      <c r="A3" s="6" t="n">
        <v>2</v>
      </c>
      <c r="B3" s="6" t="s">
        <v>35</v>
      </c>
      <c r="C3" s="6" t="s">
        <v>36</v>
      </c>
      <c r="D3" s="6" t="n">
        <v>0</v>
      </c>
      <c r="E3" s="6" t="s">
        <v>37</v>
      </c>
      <c r="F3" s="6" t="s">
        <v>29</v>
      </c>
      <c r="G3" s="6" t="s">
        <v>30</v>
      </c>
      <c r="H3" s="6" t="s">
        <v>38</v>
      </c>
      <c r="I3" s="6" t="s">
        <v>39</v>
      </c>
      <c r="J3" s="6" t="s">
        <v>40</v>
      </c>
      <c r="K3" s="6" t="s">
        <v>34</v>
      </c>
    </row>
    <row r="4" customFormat="false" ht="68.65" hidden="false" customHeight="false" outlineLevel="0" collapsed="false">
      <c r="A4" s="6" t="n">
        <v>3</v>
      </c>
      <c r="B4" s="6" t="s">
        <v>41</v>
      </c>
      <c r="C4" s="6" t="s">
        <v>42</v>
      </c>
      <c r="D4" s="6" t="n">
        <v>0</v>
      </c>
      <c r="E4" s="6" t="s">
        <v>43</v>
      </c>
      <c r="F4" s="6" t="s">
        <v>29</v>
      </c>
      <c r="G4" s="6" t="s">
        <v>30</v>
      </c>
      <c r="H4" s="6" t="s">
        <v>44</v>
      </c>
      <c r="I4" s="6" t="s">
        <v>45</v>
      </c>
      <c r="J4" s="6" t="s">
        <v>46</v>
      </c>
      <c r="K4" s="6" t="s">
        <v>34</v>
      </c>
    </row>
    <row r="5" customFormat="false" ht="57.45" hidden="false" customHeight="false" outlineLevel="0" collapsed="false">
      <c r="A5" s="6" t="n">
        <v>4</v>
      </c>
      <c r="B5" s="6" t="s">
        <v>47</v>
      </c>
      <c r="C5" s="6" t="s">
        <v>48</v>
      </c>
      <c r="D5" s="6" t="n">
        <v>0</v>
      </c>
      <c r="E5" s="6" t="s">
        <v>49</v>
      </c>
      <c r="F5" s="6" t="s">
        <v>29</v>
      </c>
      <c r="G5" s="6" t="s">
        <v>30</v>
      </c>
      <c r="H5" s="6" t="s">
        <v>50</v>
      </c>
      <c r="I5" s="6" t="s">
        <v>51</v>
      </c>
      <c r="J5" s="6" t="s">
        <v>52</v>
      </c>
      <c r="K5" s="6" t="s">
        <v>34</v>
      </c>
    </row>
    <row r="6" customFormat="false" ht="35.05" hidden="false" customHeight="false" outlineLevel="0" collapsed="false">
      <c r="A6" s="6" t="n">
        <v>5</v>
      </c>
      <c r="B6" s="6" t="s">
        <v>53</v>
      </c>
      <c r="C6" s="6" t="s">
        <v>54</v>
      </c>
      <c r="D6" s="6" t="n">
        <v>0</v>
      </c>
      <c r="E6" s="6" t="s">
        <v>55</v>
      </c>
      <c r="F6" s="6" t="s">
        <v>29</v>
      </c>
      <c r="G6" s="6" t="s">
        <v>30</v>
      </c>
      <c r="H6" s="6" t="s">
        <v>56</v>
      </c>
      <c r="I6" s="6" t="s">
        <v>57</v>
      </c>
      <c r="J6" s="6" t="s">
        <v>58</v>
      </c>
      <c r="K6" s="6" t="s">
        <v>34</v>
      </c>
    </row>
    <row r="7" customFormat="false" ht="15" hidden="false" customHeight="false" outlineLevel="0" collapsed="false">
      <c r="A7" s="6" t="n">
        <v>6</v>
      </c>
      <c r="B7" s="6" t="s">
        <v>59</v>
      </c>
      <c r="C7" s="6" t="s">
        <v>60</v>
      </c>
      <c r="D7" s="6" t="n">
        <v>0</v>
      </c>
      <c r="E7" s="6" t="s">
        <v>61</v>
      </c>
      <c r="F7" s="6" t="s">
        <v>29</v>
      </c>
      <c r="G7" s="6" t="s">
        <v>30</v>
      </c>
      <c r="H7" s="6" t="s">
        <v>62</v>
      </c>
      <c r="I7" s="6" t="s">
        <v>63</v>
      </c>
      <c r="J7" s="6" t="s">
        <v>64</v>
      </c>
      <c r="K7" s="6" t="s">
        <v>34</v>
      </c>
    </row>
    <row r="8" customFormat="false" ht="23.85" hidden="false" customHeight="false" outlineLevel="0" collapsed="false">
      <c r="A8" s="6" t="n">
        <v>7</v>
      </c>
      <c r="B8" s="6" t="s">
        <v>65</v>
      </c>
      <c r="C8" s="6" t="s">
        <v>66</v>
      </c>
      <c r="D8" s="6" t="n">
        <v>0</v>
      </c>
      <c r="E8" s="6" t="s">
        <v>67</v>
      </c>
      <c r="F8" s="6" t="s">
        <v>29</v>
      </c>
      <c r="G8" s="6" t="s">
        <v>30</v>
      </c>
      <c r="H8" s="6" t="s">
        <v>62</v>
      </c>
      <c r="I8" s="6" t="s">
        <v>68</v>
      </c>
      <c r="J8" s="6" t="s">
        <v>64</v>
      </c>
      <c r="K8" s="6" t="s">
        <v>34</v>
      </c>
    </row>
    <row r="9" customFormat="false" ht="23.85" hidden="false" customHeight="false" outlineLevel="0" collapsed="false">
      <c r="A9" s="6" t="n">
        <v>8</v>
      </c>
      <c r="B9" s="6" t="s">
        <v>69</v>
      </c>
      <c r="C9" s="6" t="s">
        <v>70</v>
      </c>
      <c r="D9" s="6" t="n">
        <v>1</v>
      </c>
      <c r="E9" s="6"/>
      <c r="F9" s="6" t="s">
        <v>29</v>
      </c>
      <c r="G9" s="6" t="s">
        <v>30</v>
      </c>
      <c r="H9" s="6" t="s">
        <v>71</v>
      </c>
      <c r="I9" s="6" t="s">
        <v>72</v>
      </c>
      <c r="J9" s="6" t="s">
        <v>73</v>
      </c>
      <c r="K9" s="6" t="s">
        <v>34</v>
      </c>
    </row>
    <row r="10" customFormat="false" ht="15" hidden="false" customHeight="false" outlineLevel="0" collapsed="false">
      <c r="A10" s="6" t="n">
        <v>9</v>
      </c>
      <c r="B10" s="6" t="s">
        <v>74</v>
      </c>
      <c r="C10" s="6" t="s">
        <v>75</v>
      </c>
      <c r="D10" s="6" t="n">
        <v>1</v>
      </c>
      <c r="E10" s="6"/>
      <c r="F10" s="6" t="s">
        <v>29</v>
      </c>
      <c r="G10" s="6" t="s">
        <v>30</v>
      </c>
      <c r="H10" s="6" t="s">
        <v>76</v>
      </c>
      <c r="I10" s="6" t="s">
        <v>77</v>
      </c>
      <c r="J10" s="6" t="s">
        <v>78</v>
      </c>
      <c r="K10" s="6" t="s">
        <v>34</v>
      </c>
    </row>
    <row r="11" customFormat="false" ht="23.85" hidden="false" customHeight="false" outlineLevel="0" collapsed="false">
      <c r="A11" s="6" t="n">
        <v>10</v>
      </c>
      <c r="B11" s="6" t="s">
        <v>79</v>
      </c>
      <c r="C11" s="6" t="s">
        <v>80</v>
      </c>
      <c r="D11" s="6" t="n">
        <v>1</v>
      </c>
      <c r="E11" s="6"/>
      <c r="F11" s="6" t="s">
        <v>81</v>
      </c>
      <c r="G11" s="6" t="s">
        <v>30</v>
      </c>
      <c r="H11" s="6" t="s">
        <v>82</v>
      </c>
      <c r="I11" s="6" t="s">
        <v>83</v>
      </c>
      <c r="J11" s="6" t="s">
        <v>84</v>
      </c>
      <c r="K11" s="6" t="s">
        <v>34</v>
      </c>
    </row>
    <row r="12" customFormat="false" ht="23.85" hidden="false" customHeight="false" outlineLevel="0" collapsed="false">
      <c r="A12" s="6" t="n">
        <v>11</v>
      </c>
      <c r="B12" s="6" t="s">
        <v>85</v>
      </c>
      <c r="C12" s="6" t="s">
        <v>86</v>
      </c>
      <c r="D12" s="6" t="n">
        <v>1</v>
      </c>
      <c r="E12" s="6"/>
      <c r="F12" s="6" t="s">
        <v>81</v>
      </c>
      <c r="G12" s="6" t="s">
        <v>30</v>
      </c>
      <c r="H12" s="6" t="s">
        <v>87</v>
      </c>
      <c r="I12" s="6" t="s">
        <v>88</v>
      </c>
      <c r="J12" s="6" t="s">
        <v>89</v>
      </c>
      <c r="K12" s="6" t="s">
        <v>34</v>
      </c>
    </row>
    <row r="13" customFormat="false" ht="15" hidden="false" customHeight="false" outlineLevel="0" collapsed="false">
      <c r="A13" s="6" t="n">
        <v>12</v>
      </c>
      <c r="B13" s="6" t="s">
        <v>90</v>
      </c>
      <c r="C13" s="6" t="s">
        <v>91</v>
      </c>
      <c r="D13" s="6" t="n">
        <v>0</v>
      </c>
      <c r="E13" s="6" t="s">
        <v>92</v>
      </c>
      <c r="F13" s="6" t="s">
        <v>29</v>
      </c>
      <c r="G13" s="6" t="s">
        <v>30</v>
      </c>
      <c r="H13" s="6" t="s">
        <v>62</v>
      </c>
      <c r="I13" s="6" t="s">
        <v>93</v>
      </c>
      <c r="J13" s="6" t="s">
        <v>64</v>
      </c>
      <c r="K13" s="6" t="s">
        <v>34</v>
      </c>
    </row>
    <row r="14" customFormat="false" ht="35.05" hidden="false" customHeight="false" outlineLevel="0" collapsed="false">
      <c r="A14" s="6" t="n">
        <v>13</v>
      </c>
      <c r="B14" s="6" t="s">
        <v>94</v>
      </c>
      <c r="C14" s="6" t="s">
        <v>95</v>
      </c>
      <c r="D14" s="6" t="s">
        <v>96</v>
      </c>
      <c r="E14" s="6" t="s">
        <v>97</v>
      </c>
      <c r="F14" s="6" t="s">
        <v>29</v>
      </c>
      <c r="G14" s="6" t="s">
        <v>30</v>
      </c>
      <c r="H14" s="6" t="s">
        <v>98</v>
      </c>
      <c r="I14" s="6" t="s">
        <v>83</v>
      </c>
      <c r="J14" s="6" t="s">
        <v>99</v>
      </c>
      <c r="K14" s="6" t="s">
        <v>34</v>
      </c>
    </row>
    <row r="15" customFormat="false" ht="23.85" hidden="false" customHeight="false" outlineLevel="0" collapsed="false">
      <c r="A15" s="6" t="n">
        <v>14</v>
      </c>
      <c r="B15" s="6" t="s">
        <v>100</v>
      </c>
      <c r="C15" s="6" t="s">
        <v>101</v>
      </c>
      <c r="D15" s="6" t="n">
        <v>1</v>
      </c>
      <c r="E15" s="6"/>
      <c r="F15" s="6" t="s">
        <v>29</v>
      </c>
      <c r="G15" s="6" t="s">
        <v>30</v>
      </c>
      <c r="H15" s="6" t="s">
        <v>102</v>
      </c>
      <c r="I15" s="6" t="s">
        <v>103</v>
      </c>
      <c r="J15" s="6" t="s">
        <v>64</v>
      </c>
      <c r="K15" s="6" t="s">
        <v>34</v>
      </c>
    </row>
    <row r="16" customFormat="false" ht="15" hidden="false" customHeight="false" outlineLevel="0" collapsed="false">
      <c r="A16" s="6" t="n">
        <v>15</v>
      </c>
      <c r="B16" s="6" t="s">
        <v>104</v>
      </c>
      <c r="C16" s="6" t="s">
        <v>105</v>
      </c>
      <c r="D16" s="6" t="n">
        <v>1</v>
      </c>
      <c r="E16" s="6"/>
      <c r="F16" s="6" t="s">
        <v>29</v>
      </c>
      <c r="G16" s="6" t="s">
        <v>30</v>
      </c>
      <c r="H16" s="6" t="s">
        <v>106</v>
      </c>
      <c r="I16" s="6" t="s">
        <v>107</v>
      </c>
      <c r="J16" s="6" t="s">
        <v>64</v>
      </c>
      <c r="K16" s="6" t="s">
        <v>34</v>
      </c>
    </row>
    <row r="17" customFormat="false" ht="15" hidden="false" customHeight="false" outlineLevel="0" collapsed="false">
      <c r="A17" s="6" t="n">
        <v>16</v>
      </c>
      <c r="B17" s="6" t="s">
        <v>108</v>
      </c>
      <c r="C17" s="6" t="s">
        <v>109</v>
      </c>
      <c r="D17" s="6" t="n">
        <v>1</v>
      </c>
      <c r="E17" s="6"/>
      <c r="F17" s="6" t="s">
        <v>29</v>
      </c>
      <c r="G17" s="6" t="s">
        <v>30</v>
      </c>
      <c r="H17" s="6" t="s">
        <v>106</v>
      </c>
      <c r="I17" s="6" t="s">
        <v>110</v>
      </c>
      <c r="J17" s="6" t="s">
        <v>111</v>
      </c>
      <c r="K17" s="6" t="s">
        <v>34</v>
      </c>
    </row>
    <row r="18" customFormat="false" ht="23.85" hidden="false" customHeight="false" outlineLevel="0" collapsed="false">
      <c r="A18" s="6" t="n">
        <v>17</v>
      </c>
      <c r="B18" s="6" t="s">
        <v>112</v>
      </c>
      <c r="C18" s="6" t="s">
        <v>113</v>
      </c>
      <c r="D18" s="6" t="n">
        <v>1</v>
      </c>
      <c r="E18" s="6"/>
      <c r="F18" s="6" t="s">
        <v>29</v>
      </c>
      <c r="G18" s="6" t="s">
        <v>30</v>
      </c>
      <c r="H18" s="6" t="s">
        <v>106</v>
      </c>
      <c r="I18" s="6" t="s">
        <v>114</v>
      </c>
      <c r="J18" s="6" t="s">
        <v>115</v>
      </c>
      <c r="K18" s="6" t="s">
        <v>34</v>
      </c>
    </row>
    <row r="19" customFormat="false" ht="23.85" hidden="false" customHeight="false" outlineLevel="0" collapsed="false">
      <c r="A19" s="6" t="n">
        <v>18</v>
      </c>
      <c r="B19" s="6" t="s">
        <v>116</v>
      </c>
      <c r="C19" s="6" t="s">
        <v>117</v>
      </c>
      <c r="D19" s="6" t="n">
        <v>1</v>
      </c>
      <c r="E19" s="6"/>
      <c r="F19" s="6" t="s">
        <v>29</v>
      </c>
      <c r="G19" s="6" t="s">
        <v>30</v>
      </c>
      <c r="H19" s="6" t="s">
        <v>118</v>
      </c>
      <c r="I19" s="6" t="s">
        <v>77</v>
      </c>
      <c r="J19" s="6" t="s">
        <v>119</v>
      </c>
      <c r="K19" s="6" t="s">
        <v>34</v>
      </c>
    </row>
    <row r="20" customFormat="false" ht="23.85" hidden="false" customHeight="false" outlineLevel="0" collapsed="false">
      <c r="A20" s="6" t="n">
        <v>19</v>
      </c>
      <c r="B20" s="6" t="s">
        <v>120</v>
      </c>
      <c r="C20" s="6" t="s">
        <v>121</v>
      </c>
      <c r="D20" s="6" t="n">
        <v>1</v>
      </c>
      <c r="E20" s="6"/>
      <c r="F20" s="6" t="s">
        <v>29</v>
      </c>
      <c r="G20" s="6" t="s">
        <v>30</v>
      </c>
      <c r="H20" s="6" t="s">
        <v>122</v>
      </c>
      <c r="I20" s="6" t="s">
        <v>123</v>
      </c>
      <c r="J20" s="6" t="s">
        <v>124</v>
      </c>
      <c r="K20" s="6" t="s">
        <v>34</v>
      </c>
    </row>
    <row r="21" customFormat="false" ht="15" hidden="false" customHeight="false" outlineLevel="0" collapsed="false">
      <c r="A21" s="6" t="n">
        <v>20</v>
      </c>
      <c r="B21" s="6" t="s">
        <v>125</v>
      </c>
      <c r="C21" s="6" t="s">
        <v>126</v>
      </c>
      <c r="D21" s="6" t="n">
        <v>0</v>
      </c>
      <c r="E21" s="6" t="s">
        <v>127</v>
      </c>
      <c r="F21" s="6" t="s">
        <v>29</v>
      </c>
      <c r="G21" s="6" t="s">
        <v>30</v>
      </c>
      <c r="H21" s="6" t="s">
        <v>62</v>
      </c>
      <c r="I21" s="6" t="s">
        <v>128</v>
      </c>
      <c r="J21" s="6" t="s">
        <v>64</v>
      </c>
      <c r="K21" s="6" t="s">
        <v>34</v>
      </c>
    </row>
    <row r="22" customFormat="false" ht="23.85" hidden="false" customHeight="false" outlineLevel="0" collapsed="false">
      <c r="A22" s="6" t="n">
        <v>21</v>
      </c>
      <c r="B22" s="6" t="s">
        <v>129</v>
      </c>
      <c r="C22" s="6" t="s">
        <v>130</v>
      </c>
      <c r="D22" s="6" t="n">
        <v>1</v>
      </c>
      <c r="E22" s="6"/>
      <c r="F22" s="6" t="s">
        <v>29</v>
      </c>
      <c r="G22" s="6" t="s">
        <v>30</v>
      </c>
      <c r="H22" s="6" t="s">
        <v>131</v>
      </c>
      <c r="I22" s="6" t="s">
        <v>132</v>
      </c>
      <c r="J22" s="6" t="s">
        <v>133</v>
      </c>
      <c r="K22" s="6" t="s">
        <v>34</v>
      </c>
    </row>
    <row r="23" customFormat="false" ht="15" hidden="false" customHeight="false" outlineLevel="0" collapsed="false">
      <c r="A23" s="6" t="n">
        <v>22</v>
      </c>
      <c r="B23" s="6" t="s">
        <v>134</v>
      </c>
      <c r="C23" s="6" t="s">
        <v>135</v>
      </c>
      <c r="D23" s="6" t="n">
        <v>1</v>
      </c>
      <c r="E23" s="6"/>
      <c r="F23" s="6" t="s">
        <v>136</v>
      </c>
      <c r="G23" s="6" t="s">
        <v>30</v>
      </c>
      <c r="H23" s="6" t="s">
        <v>137</v>
      </c>
      <c r="I23" s="6" t="s">
        <v>138</v>
      </c>
      <c r="J23" s="6" t="s">
        <v>64</v>
      </c>
      <c r="K23" s="6" t="s">
        <v>34</v>
      </c>
    </row>
    <row r="24" customFormat="false" ht="15" hidden="false" customHeight="false" outlineLevel="0" collapsed="false">
      <c r="A24" s="6" t="n">
        <v>23</v>
      </c>
      <c r="B24" s="6" t="s">
        <v>139</v>
      </c>
      <c r="C24" s="6" t="s">
        <v>140</v>
      </c>
      <c r="D24" s="6" t="n">
        <v>1</v>
      </c>
      <c r="E24" s="6"/>
      <c r="F24" s="6" t="s">
        <v>136</v>
      </c>
      <c r="G24" s="6" t="s">
        <v>30</v>
      </c>
      <c r="H24" s="6" t="s">
        <v>141</v>
      </c>
      <c r="I24" s="6" t="s">
        <v>142</v>
      </c>
      <c r="J24" s="6" t="s">
        <v>64</v>
      </c>
      <c r="K24" s="6" t="s">
        <v>34</v>
      </c>
    </row>
    <row r="25" customFormat="false" ht="23.85" hidden="false" customHeight="false" outlineLevel="0" collapsed="false">
      <c r="A25" s="6" t="n">
        <v>24</v>
      </c>
      <c r="B25" s="6" t="s">
        <v>143</v>
      </c>
      <c r="C25" s="6" t="s">
        <v>144</v>
      </c>
      <c r="D25" s="6" t="n">
        <v>0</v>
      </c>
      <c r="E25" s="6" t="s">
        <v>145</v>
      </c>
      <c r="F25" s="6" t="s">
        <v>136</v>
      </c>
      <c r="G25" s="6" t="s">
        <v>30</v>
      </c>
      <c r="H25" s="6" t="s">
        <v>146</v>
      </c>
      <c r="I25" s="6" t="s">
        <v>147</v>
      </c>
      <c r="J25" s="6" t="s">
        <v>148</v>
      </c>
      <c r="K25" s="6" t="s">
        <v>34</v>
      </c>
    </row>
    <row r="26" customFormat="false" ht="23.85" hidden="false" customHeight="false" outlineLevel="0" collapsed="false">
      <c r="A26" s="6" t="n">
        <v>25</v>
      </c>
      <c r="B26" s="6" t="s">
        <v>149</v>
      </c>
      <c r="C26" s="6" t="s">
        <v>150</v>
      </c>
      <c r="D26" s="6" t="n">
        <v>0</v>
      </c>
      <c r="E26" s="6" t="s">
        <v>151</v>
      </c>
      <c r="F26" s="6" t="s">
        <v>29</v>
      </c>
      <c r="G26" s="6" t="s">
        <v>30</v>
      </c>
      <c r="H26" s="6" t="s">
        <v>62</v>
      </c>
      <c r="I26" s="6" t="s">
        <v>152</v>
      </c>
      <c r="J26" s="6" t="s">
        <v>153</v>
      </c>
      <c r="K26" s="6" t="s">
        <v>34</v>
      </c>
    </row>
    <row r="27" customFormat="false" ht="23.85" hidden="false" customHeight="false" outlineLevel="0" collapsed="false">
      <c r="A27" s="6" t="n">
        <v>26</v>
      </c>
      <c r="B27" s="6" t="s">
        <v>154</v>
      </c>
      <c r="C27" s="6" t="s">
        <v>155</v>
      </c>
      <c r="D27" s="6" t="n">
        <v>1</v>
      </c>
      <c r="E27" s="6"/>
      <c r="F27" s="6" t="s">
        <v>29</v>
      </c>
      <c r="G27" s="6" t="s">
        <v>30</v>
      </c>
      <c r="H27" s="6" t="s">
        <v>156</v>
      </c>
      <c r="I27" s="6" t="s">
        <v>157</v>
      </c>
      <c r="J27" s="6" t="s">
        <v>64</v>
      </c>
      <c r="K27" s="6" t="s">
        <v>34</v>
      </c>
    </row>
    <row r="28" customFormat="false" ht="15" hidden="false" customHeight="false" outlineLevel="0" collapsed="false">
      <c r="A28" s="6" t="n">
        <v>27</v>
      </c>
      <c r="B28" s="6" t="s">
        <v>158</v>
      </c>
      <c r="C28" s="6" t="s">
        <v>159</v>
      </c>
      <c r="D28" s="6" t="n">
        <v>1</v>
      </c>
      <c r="E28" s="6"/>
      <c r="F28" s="6" t="s">
        <v>29</v>
      </c>
      <c r="G28" s="6" t="s">
        <v>30</v>
      </c>
      <c r="H28" s="6" t="s">
        <v>106</v>
      </c>
      <c r="I28" s="6" t="s">
        <v>160</v>
      </c>
      <c r="J28" s="6" t="s">
        <v>64</v>
      </c>
      <c r="K28" s="6" t="s">
        <v>34</v>
      </c>
    </row>
    <row r="29" customFormat="false" ht="15" hidden="false" customHeight="false" outlineLevel="0" collapsed="false">
      <c r="A29" s="6" t="n">
        <v>28</v>
      </c>
      <c r="B29" s="6" t="s">
        <v>161</v>
      </c>
      <c r="C29" s="6" t="s">
        <v>162</v>
      </c>
      <c r="D29" s="6" t="n">
        <v>1</v>
      </c>
      <c r="E29" s="6"/>
      <c r="F29" s="6" t="s">
        <v>29</v>
      </c>
      <c r="G29" s="6" t="s">
        <v>30</v>
      </c>
      <c r="H29" s="6" t="s">
        <v>106</v>
      </c>
      <c r="I29" s="6" t="s">
        <v>163</v>
      </c>
      <c r="J29" s="6" t="s">
        <v>64</v>
      </c>
      <c r="K29" s="6" t="s">
        <v>34</v>
      </c>
    </row>
    <row r="30" customFormat="false" ht="15" hidden="false" customHeight="false" outlineLevel="0" collapsed="false">
      <c r="A30" s="6" t="n">
        <v>29</v>
      </c>
      <c r="B30" s="6" t="s">
        <v>164</v>
      </c>
      <c r="C30" s="6" t="s">
        <v>165</v>
      </c>
      <c r="D30" s="6" t="n">
        <v>1</v>
      </c>
      <c r="E30" s="6"/>
      <c r="F30" s="6" t="s">
        <v>29</v>
      </c>
      <c r="G30" s="6" t="s">
        <v>30</v>
      </c>
      <c r="H30" s="6" t="s">
        <v>166</v>
      </c>
      <c r="I30" s="6" t="s">
        <v>138</v>
      </c>
      <c r="J30" s="6" t="s">
        <v>64</v>
      </c>
      <c r="K30" s="6" t="s">
        <v>34</v>
      </c>
    </row>
    <row r="31" customFormat="false" ht="15" hidden="false" customHeight="false" outlineLevel="0" collapsed="false">
      <c r="A31" s="6" t="n">
        <v>30</v>
      </c>
      <c r="B31" s="6" t="s">
        <v>167</v>
      </c>
      <c r="C31" s="6" t="s">
        <v>168</v>
      </c>
      <c r="D31" s="6" t="n">
        <v>1</v>
      </c>
      <c r="E31" s="6"/>
      <c r="F31" s="6" t="s">
        <v>29</v>
      </c>
      <c r="G31" s="6" t="s">
        <v>30</v>
      </c>
      <c r="H31" s="6" t="s">
        <v>169</v>
      </c>
      <c r="I31" s="6" t="s">
        <v>138</v>
      </c>
      <c r="J31" s="6" t="s">
        <v>170</v>
      </c>
      <c r="K31" s="6" t="s">
        <v>34</v>
      </c>
    </row>
    <row r="32" customFormat="false" ht="35.05" hidden="false" customHeight="false" outlineLevel="0" collapsed="false">
      <c r="A32" s="6" t="n">
        <v>31</v>
      </c>
      <c r="B32" s="6" t="s">
        <v>171</v>
      </c>
      <c r="C32" s="6" t="s">
        <v>172</v>
      </c>
      <c r="D32" s="6" t="n">
        <v>1</v>
      </c>
      <c r="E32" s="6"/>
      <c r="F32" s="6" t="s">
        <v>29</v>
      </c>
      <c r="G32" s="6" t="s">
        <v>30</v>
      </c>
      <c r="H32" s="6" t="s">
        <v>173</v>
      </c>
      <c r="I32" s="6" t="s">
        <v>174</v>
      </c>
      <c r="J32" s="6" t="s">
        <v>175</v>
      </c>
      <c r="K32" s="6" t="s">
        <v>34</v>
      </c>
    </row>
    <row r="33" customFormat="false" ht="23.85" hidden="false" customHeight="false" outlineLevel="0" collapsed="false">
      <c r="A33" s="6" t="n">
        <v>32</v>
      </c>
      <c r="B33" s="6" t="s">
        <v>176</v>
      </c>
      <c r="C33" s="6" t="s">
        <v>177</v>
      </c>
      <c r="D33" s="6" t="n">
        <v>1</v>
      </c>
      <c r="E33" s="6"/>
      <c r="F33" s="6" t="s">
        <v>29</v>
      </c>
      <c r="G33" s="6" t="s">
        <v>30</v>
      </c>
      <c r="H33" s="6" t="s">
        <v>106</v>
      </c>
      <c r="I33" s="6" t="s">
        <v>178</v>
      </c>
      <c r="J33" s="6" t="s">
        <v>179</v>
      </c>
      <c r="K33" s="6" t="s">
        <v>34</v>
      </c>
    </row>
    <row r="34" customFormat="false" ht="23.85" hidden="false" customHeight="false" outlineLevel="0" collapsed="false">
      <c r="A34" s="6" t="n">
        <v>33</v>
      </c>
      <c r="B34" s="6" t="s">
        <v>180</v>
      </c>
      <c r="C34" s="6" t="s">
        <v>181</v>
      </c>
      <c r="D34" s="6" t="n">
        <v>0</v>
      </c>
      <c r="E34" s="6" t="s">
        <v>182</v>
      </c>
      <c r="F34" s="6" t="s">
        <v>29</v>
      </c>
      <c r="G34" s="6" t="s">
        <v>30</v>
      </c>
      <c r="H34" s="6" t="s">
        <v>62</v>
      </c>
      <c r="I34" s="6" t="s">
        <v>183</v>
      </c>
      <c r="J34" s="6" t="s">
        <v>64</v>
      </c>
      <c r="K34" s="6" t="s">
        <v>34</v>
      </c>
    </row>
    <row r="35" customFormat="false" ht="15" hidden="false" customHeight="false" outlineLevel="0" collapsed="false">
      <c r="A35" s="6" t="n">
        <v>34</v>
      </c>
      <c r="B35" s="6" t="s">
        <v>184</v>
      </c>
      <c r="C35" s="6" t="s">
        <v>185</v>
      </c>
      <c r="D35" s="6" t="n">
        <v>1</v>
      </c>
      <c r="E35" s="6"/>
      <c r="F35" s="6" t="s">
        <v>29</v>
      </c>
      <c r="G35" s="6" t="s">
        <v>30</v>
      </c>
      <c r="H35" s="6" t="s">
        <v>106</v>
      </c>
      <c r="I35" s="6" t="s">
        <v>186</v>
      </c>
      <c r="J35" s="6" t="s">
        <v>187</v>
      </c>
      <c r="K35" s="6" t="s">
        <v>34</v>
      </c>
    </row>
    <row r="36" customFormat="false" ht="23.85" hidden="false" customHeight="false" outlineLevel="0" collapsed="false">
      <c r="A36" s="6" t="n">
        <v>35</v>
      </c>
      <c r="B36" s="6" t="s">
        <v>188</v>
      </c>
      <c r="C36" s="6" t="s">
        <v>189</v>
      </c>
      <c r="D36" s="6" t="n">
        <v>1</v>
      </c>
      <c r="E36" s="6"/>
      <c r="F36" s="6" t="s">
        <v>29</v>
      </c>
      <c r="G36" s="6" t="s">
        <v>30</v>
      </c>
      <c r="H36" s="6" t="s">
        <v>190</v>
      </c>
      <c r="I36" s="6" t="s">
        <v>191</v>
      </c>
      <c r="J36" s="6" t="s">
        <v>192</v>
      </c>
      <c r="K36" s="6" t="s">
        <v>34</v>
      </c>
    </row>
    <row r="37" customFormat="false" ht="15" hidden="false" customHeight="false" outlineLevel="0" collapsed="false">
      <c r="A37" s="6" t="n">
        <v>36</v>
      </c>
      <c r="B37" s="6" t="s">
        <v>193</v>
      </c>
      <c r="C37" s="6" t="s">
        <v>194</v>
      </c>
      <c r="D37" s="6" t="n">
        <v>1</v>
      </c>
      <c r="E37" s="6"/>
      <c r="F37" s="6" t="s">
        <v>29</v>
      </c>
      <c r="G37" s="6" t="s">
        <v>30</v>
      </c>
      <c r="H37" s="6" t="s">
        <v>195</v>
      </c>
      <c r="I37" s="6" t="s">
        <v>196</v>
      </c>
      <c r="J37" s="6" t="s">
        <v>197</v>
      </c>
      <c r="K37" s="6" t="s">
        <v>34</v>
      </c>
    </row>
    <row r="38" customFormat="false" ht="23.85" hidden="false" customHeight="false" outlineLevel="0" collapsed="false">
      <c r="A38" s="6" t="n">
        <v>37</v>
      </c>
      <c r="B38" s="6" t="s">
        <v>198</v>
      </c>
      <c r="C38" s="6" t="s">
        <v>199</v>
      </c>
      <c r="D38" s="6" t="s">
        <v>200</v>
      </c>
      <c r="E38" s="6" t="s">
        <v>201</v>
      </c>
      <c r="F38" s="6" t="s">
        <v>29</v>
      </c>
      <c r="G38" s="6" t="s">
        <v>30</v>
      </c>
      <c r="H38" s="6" t="s">
        <v>202</v>
      </c>
      <c r="I38" s="6" t="s">
        <v>203</v>
      </c>
      <c r="J38" s="6" t="s">
        <v>64</v>
      </c>
      <c r="K38" s="6" t="s">
        <v>34</v>
      </c>
    </row>
    <row r="39" customFormat="false" ht="15" hidden="false" customHeight="false" outlineLevel="0" collapsed="false">
      <c r="A39" s="6" t="n">
        <v>38</v>
      </c>
      <c r="B39" s="6" t="s">
        <v>204</v>
      </c>
      <c r="C39" s="6" t="s">
        <v>205</v>
      </c>
      <c r="D39" s="6" t="s">
        <v>200</v>
      </c>
      <c r="E39" s="6"/>
      <c r="F39" s="6" t="s">
        <v>29</v>
      </c>
      <c r="G39" s="6" t="s">
        <v>30</v>
      </c>
      <c r="H39" s="6" t="s">
        <v>206</v>
      </c>
      <c r="I39" s="6" t="s">
        <v>207</v>
      </c>
      <c r="J39" s="6" t="s">
        <v>64</v>
      </c>
      <c r="K39" s="6" t="s">
        <v>34</v>
      </c>
    </row>
    <row r="40" customFormat="false" ht="23.85" hidden="false" customHeight="false" outlineLevel="0" collapsed="false">
      <c r="A40" s="6" t="n">
        <v>39</v>
      </c>
      <c r="B40" s="6" t="s">
        <v>208</v>
      </c>
      <c r="C40" s="6" t="s">
        <v>209</v>
      </c>
      <c r="D40" s="6" t="s">
        <v>210</v>
      </c>
      <c r="E40" s="6" t="s">
        <v>211</v>
      </c>
      <c r="F40" s="6" t="s">
        <v>81</v>
      </c>
      <c r="G40" s="6" t="s">
        <v>30</v>
      </c>
      <c r="H40" s="6" t="s">
        <v>212</v>
      </c>
      <c r="I40" s="6" t="s">
        <v>138</v>
      </c>
      <c r="J40" s="6" t="s">
        <v>213</v>
      </c>
      <c r="K40" s="6" t="s">
        <v>34</v>
      </c>
    </row>
    <row r="41" customFormat="false" ht="23.85" hidden="false" customHeight="false" outlineLevel="0" collapsed="false">
      <c r="A41" s="6" t="n">
        <v>40</v>
      </c>
      <c r="B41" s="6" t="s">
        <v>214</v>
      </c>
      <c r="C41" s="6" t="s">
        <v>215</v>
      </c>
      <c r="D41" s="6" t="s">
        <v>200</v>
      </c>
      <c r="E41" s="6" t="s">
        <v>216</v>
      </c>
      <c r="F41" s="6" t="s">
        <v>29</v>
      </c>
      <c r="G41" s="6" t="s">
        <v>30</v>
      </c>
      <c r="H41" s="6" t="s">
        <v>217</v>
      </c>
      <c r="I41" s="6" t="s">
        <v>218</v>
      </c>
      <c r="J41" s="6" t="s">
        <v>219</v>
      </c>
      <c r="K41" s="6" t="s">
        <v>34</v>
      </c>
    </row>
    <row r="42" customFormat="false" ht="23.85" hidden="false" customHeight="false" outlineLevel="0" collapsed="false">
      <c r="A42" s="6" t="n">
        <v>41</v>
      </c>
      <c r="B42" s="6" t="s">
        <v>220</v>
      </c>
      <c r="C42" s="6" t="s">
        <v>221</v>
      </c>
      <c r="D42" s="6" t="n">
        <v>1</v>
      </c>
      <c r="E42" s="6"/>
      <c r="F42" s="6" t="s">
        <v>29</v>
      </c>
      <c r="G42" s="6" t="s">
        <v>30</v>
      </c>
      <c r="H42" s="6" t="s">
        <v>62</v>
      </c>
      <c r="I42" s="6" t="s">
        <v>157</v>
      </c>
      <c r="J42" s="6" t="s">
        <v>64</v>
      </c>
      <c r="K42" s="6" t="s">
        <v>34</v>
      </c>
    </row>
    <row r="43" customFormat="false" ht="23.85" hidden="false" customHeight="false" outlineLevel="0" collapsed="false">
      <c r="A43" s="6" t="n">
        <v>42</v>
      </c>
      <c r="B43" s="6" t="s">
        <v>222</v>
      </c>
      <c r="C43" s="6" t="s">
        <v>223</v>
      </c>
      <c r="D43" s="6" t="n">
        <v>1</v>
      </c>
      <c r="E43" s="6"/>
      <c r="F43" s="6" t="s">
        <v>81</v>
      </c>
      <c r="G43" s="6" t="s">
        <v>30</v>
      </c>
      <c r="H43" s="6" t="s">
        <v>224</v>
      </c>
      <c r="I43" s="6" t="s">
        <v>225</v>
      </c>
      <c r="J43" s="6" t="s">
        <v>64</v>
      </c>
      <c r="K43" s="6" t="s">
        <v>34</v>
      </c>
    </row>
    <row r="44" customFormat="false" ht="23.85" hidden="false" customHeight="false" outlineLevel="0" collapsed="false">
      <c r="A44" s="6" t="n">
        <v>43</v>
      </c>
      <c r="B44" s="6" t="s">
        <v>226</v>
      </c>
      <c r="C44" s="6" t="s">
        <v>227</v>
      </c>
      <c r="D44" s="6" t="n">
        <v>1</v>
      </c>
      <c r="E44" s="6"/>
      <c r="F44" s="6" t="s">
        <v>29</v>
      </c>
      <c r="G44" s="6" t="s">
        <v>30</v>
      </c>
      <c r="H44" s="6" t="s">
        <v>228</v>
      </c>
      <c r="I44" s="6" t="s">
        <v>229</v>
      </c>
      <c r="J44" s="6" t="s">
        <v>230</v>
      </c>
      <c r="K44" s="6" t="s">
        <v>34</v>
      </c>
    </row>
    <row r="45" customFormat="false" ht="23.85" hidden="false" customHeight="false" outlineLevel="0" collapsed="false">
      <c r="A45" s="6" t="n">
        <v>44</v>
      </c>
      <c r="B45" s="6" t="s">
        <v>231</v>
      </c>
      <c r="C45" s="6" t="s">
        <v>232</v>
      </c>
      <c r="D45" s="6" t="n">
        <v>1</v>
      </c>
      <c r="E45" s="6"/>
      <c r="F45" s="6" t="s">
        <v>81</v>
      </c>
      <c r="G45" s="6" t="s">
        <v>30</v>
      </c>
      <c r="H45" s="6" t="s">
        <v>233</v>
      </c>
      <c r="I45" s="6" t="s">
        <v>234</v>
      </c>
      <c r="J45" s="6" t="s">
        <v>235</v>
      </c>
      <c r="K45" s="6" t="s">
        <v>34</v>
      </c>
    </row>
    <row r="46" customFormat="false" ht="23.85" hidden="false" customHeight="false" outlineLevel="0" collapsed="false">
      <c r="A46" s="6" t="n">
        <v>45</v>
      </c>
      <c r="B46" s="6" t="s">
        <v>236</v>
      </c>
      <c r="C46" s="6" t="s">
        <v>237</v>
      </c>
      <c r="D46" s="6" t="n">
        <v>1</v>
      </c>
      <c r="E46" s="6"/>
      <c r="F46" s="6" t="s">
        <v>81</v>
      </c>
      <c r="G46" s="6" t="s">
        <v>30</v>
      </c>
      <c r="H46" s="6" t="s">
        <v>238</v>
      </c>
      <c r="I46" s="6" t="s">
        <v>239</v>
      </c>
      <c r="J46" s="6" t="s">
        <v>64</v>
      </c>
      <c r="K46" s="6" t="s">
        <v>34</v>
      </c>
    </row>
    <row r="47" customFormat="false" ht="23.85" hidden="false" customHeight="false" outlineLevel="0" collapsed="false">
      <c r="A47" s="7" t="n">
        <v>46</v>
      </c>
      <c r="B47" s="7" t="s">
        <v>240</v>
      </c>
      <c r="C47" s="7" t="s">
        <v>241</v>
      </c>
      <c r="D47" s="7" t="s">
        <v>242</v>
      </c>
      <c r="E47" s="7" t="s">
        <v>243</v>
      </c>
      <c r="F47" s="7" t="s">
        <v>29</v>
      </c>
      <c r="G47" s="7" t="s">
        <v>244</v>
      </c>
      <c r="H47" s="7" t="s">
        <v>245</v>
      </c>
      <c r="I47" s="7" t="s">
        <v>246</v>
      </c>
      <c r="J47" s="7" t="s">
        <v>247</v>
      </c>
      <c r="K47" s="7" t="s">
        <v>248</v>
      </c>
    </row>
    <row r="48" customFormat="false" ht="23.85" hidden="false" customHeight="false" outlineLevel="0" collapsed="false">
      <c r="A48" s="7" t="n">
        <v>47</v>
      </c>
      <c r="B48" s="7" t="s">
        <v>249</v>
      </c>
      <c r="C48" s="7" t="s">
        <v>250</v>
      </c>
      <c r="D48" s="7" t="s">
        <v>242</v>
      </c>
      <c r="E48" s="7" t="s">
        <v>251</v>
      </c>
      <c r="F48" s="7" t="s">
        <v>29</v>
      </c>
      <c r="G48" s="7" t="s">
        <v>244</v>
      </c>
      <c r="H48" s="7" t="s">
        <v>252</v>
      </c>
      <c r="I48" s="7" t="s">
        <v>253</v>
      </c>
      <c r="J48" s="7" t="s">
        <v>247</v>
      </c>
      <c r="K48" s="7" t="s">
        <v>248</v>
      </c>
    </row>
    <row r="49" customFormat="false" ht="23.85" hidden="false" customHeight="false" outlineLevel="0" collapsed="false">
      <c r="A49" s="7" t="n">
        <v>48</v>
      </c>
      <c r="B49" s="7" t="s">
        <v>254</v>
      </c>
      <c r="C49" s="7" t="s">
        <v>255</v>
      </c>
      <c r="D49" s="7" t="s">
        <v>242</v>
      </c>
      <c r="E49" s="7" t="s">
        <v>256</v>
      </c>
      <c r="F49" s="7" t="s">
        <v>29</v>
      </c>
      <c r="G49" s="7" t="s">
        <v>244</v>
      </c>
      <c r="H49" s="7" t="s">
        <v>257</v>
      </c>
      <c r="I49" s="7" t="s">
        <v>258</v>
      </c>
      <c r="J49" s="7" t="s">
        <v>247</v>
      </c>
      <c r="K49" s="7" t="s">
        <v>248</v>
      </c>
    </row>
    <row r="50" customFormat="false" ht="23.85" hidden="false" customHeight="false" outlineLevel="0" collapsed="false">
      <c r="A50" s="7" t="n">
        <v>49</v>
      </c>
      <c r="B50" s="7" t="s">
        <v>259</v>
      </c>
      <c r="C50" s="7" t="s">
        <v>260</v>
      </c>
      <c r="D50" s="7" t="s">
        <v>242</v>
      </c>
      <c r="E50" s="7" t="s">
        <v>251</v>
      </c>
      <c r="F50" s="7" t="s">
        <v>29</v>
      </c>
      <c r="G50" s="7" t="s">
        <v>244</v>
      </c>
      <c r="H50" s="7" t="s">
        <v>261</v>
      </c>
      <c r="I50" s="7" t="s">
        <v>262</v>
      </c>
      <c r="J50" s="7" t="s">
        <v>247</v>
      </c>
      <c r="K50" s="7" t="s">
        <v>248</v>
      </c>
    </row>
    <row r="51" customFormat="false" ht="23.85" hidden="false" customHeight="false" outlineLevel="0" collapsed="false">
      <c r="A51" s="7" t="n">
        <v>50</v>
      </c>
      <c r="B51" s="7" t="s">
        <v>263</v>
      </c>
      <c r="C51" s="7" t="s">
        <v>264</v>
      </c>
      <c r="D51" s="7" t="s">
        <v>242</v>
      </c>
      <c r="E51" s="7" t="s">
        <v>251</v>
      </c>
      <c r="F51" s="7" t="s">
        <v>29</v>
      </c>
      <c r="G51" s="7" t="s">
        <v>244</v>
      </c>
      <c r="H51" s="7" t="s">
        <v>265</v>
      </c>
      <c r="I51" s="7" t="s">
        <v>266</v>
      </c>
      <c r="J51" s="7" t="s">
        <v>247</v>
      </c>
      <c r="K51" s="7" t="s">
        <v>248</v>
      </c>
    </row>
    <row r="52" customFormat="false" ht="23.85" hidden="false" customHeight="false" outlineLevel="0" collapsed="false">
      <c r="A52" s="7" t="n">
        <v>51</v>
      </c>
      <c r="B52" s="7" t="s">
        <v>267</v>
      </c>
      <c r="C52" s="7" t="s">
        <v>268</v>
      </c>
      <c r="D52" s="7" t="s">
        <v>242</v>
      </c>
      <c r="E52" s="7" t="s">
        <v>251</v>
      </c>
      <c r="F52" s="7" t="s">
        <v>29</v>
      </c>
      <c r="G52" s="7" t="s">
        <v>244</v>
      </c>
      <c r="H52" s="7" t="s">
        <v>269</v>
      </c>
      <c r="I52" s="7" t="s">
        <v>258</v>
      </c>
      <c r="J52" s="7" t="s">
        <v>247</v>
      </c>
      <c r="K52" s="7" t="s">
        <v>248</v>
      </c>
    </row>
    <row r="53" customFormat="false" ht="15" hidden="false" customHeight="false" outlineLevel="0" collapsed="false">
      <c r="A53" s="7" t="n">
        <v>52</v>
      </c>
      <c r="B53" s="7" t="s">
        <v>270</v>
      </c>
      <c r="C53" s="7" t="s">
        <v>271</v>
      </c>
      <c r="D53" s="7" t="s">
        <v>242</v>
      </c>
      <c r="E53" s="7" t="s">
        <v>251</v>
      </c>
      <c r="F53" s="7" t="s">
        <v>29</v>
      </c>
      <c r="G53" s="7" t="s">
        <v>244</v>
      </c>
      <c r="H53" s="7" t="s">
        <v>272</v>
      </c>
      <c r="I53" s="7" t="s">
        <v>273</v>
      </c>
      <c r="J53" s="7" t="s">
        <v>247</v>
      </c>
      <c r="K53" s="7" t="s">
        <v>248</v>
      </c>
    </row>
    <row r="54" customFormat="false" ht="23.85" hidden="false" customHeight="false" outlineLevel="0" collapsed="false">
      <c r="A54" s="7" t="n">
        <v>53</v>
      </c>
      <c r="B54" s="7" t="s">
        <v>274</v>
      </c>
      <c r="C54" s="7" t="s">
        <v>275</v>
      </c>
      <c r="D54" s="7" t="s">
        <v>242</v>
      </c>
      <c r="E54" s="7" t="s">
        <v>276</v>
      </c>
      <c r="F54" s="7" t="s">
        <v>29</v>
      </c>
      <c r="G54" s="7" t="s">
        <v>244</v>
      </c>
      <c r="H54" s="7" t="s">
        <v>277</v>
      </c>
      <c r="I54" s="7" t="s">
        <v>278</v>
      </c>
      <c r="J54" s="7" t="s">
        <v>247</v>
      </c>
      <c r="K54" s="7" t="s">
        <v>248</v>
      </c>
    </row>
    <row r="55" customFormat="false" ht="15" hidden="false" customHeight="false" outlineLevel="0" collapsed="false">
      <c r="A55" s="7" t="n">
        <v>54</v>
      </c>
      <c r="B55" s="7" t="s">
        <v>279</v>
      </c>
      <c r="C55" s="7" t="s">
        <v>280</v>
      </c>
      <c r="D55" s="7" t="s">
        <v>281</v>
      </c>
      <c r="E55" s="7" t="s">
        <v>282</v>
      </c>
      <c r="F55" s="7" t="s">
        <v>29</v>
      </c>
      <c r="G55" s="7" t="s">
        <v>283</v>
      </c>
      <c r="H55" s="7" t="s">
        <v>191</v>
      </c>
      <c r="I55" s="7" t="s">
        <v>83</v>
      </c>
      <c r="J55" s="7" t="s">
        <v>247</v>
      </c>
      <c r="K55" s="7" t="s">
        <v>248</v>
      </c>
    </row>
    <row r="56" customFormat="false" ht="15" hidden="false" customHeight="false" outlineLevel="0" collapsed="false">
      <c r="A56" s="7" t="n">
        <v>55</v>
      </c>
      <c r="B56" s="7" t="s">
        <v>284</v>
      </c>
      <c r="C56" s="7" t="s">
        <v>285</v>
      </c>
      <c r="D56" s="7" t="s">
        <v>281</v>
      </c>
      <c r="E56" s="7" t="s">
        <v>286</v>
      </c>
      <c r="F56" s="7" t="s">
        <v>29</v>
      </c>
      <c r="G56" s="7" t="s">
        <v>283</v>
      </c>
      <c r="H56" s="7" t="s">
        <v>191</v>
      </c>
      <c r="I56" s="7" t="s">
        <v>287</v>
      </c>
      <c r="J56" s="7" t="s">
        <v>247</v>
      </c>
      <c r="K56" s="7" t="s">
        <v>248</v>
      </c>
    </row>
    <row r="57" customFormat="false" ht="15" hidden="false" customHeight="false" outlineLevel="0" collapsed="false">
      <c r="A57" s="7" t="n">
        <v>56</v>
      </c>
      <c r="B57" s="7" t="s">
        <v>288</v>
      </c>
      <c r="C57" s="7" t="s">
        <v>289</v>
      </c>
      <c r="D57" s="7" t="s">
        <v>281</v>
      </c>
      <c r="E57" s="7" t="s">
        <v>290</v>
      </c>
      <c r="F57" s="7" t="s">
        <v>29</v>
      </c>
      <c r="G57" s="7" t="s">
        <v>283</v>
      </c>
      <c r="H57" s="7" t="s">
        <v>191</v>
      </c>
      <c r="I57" s="7" t="s">
        <v>291</v>
      </c>
      <c r="J57" s="7" t="s">
        <v>247</v>
      </c>
      <c r="K57" s="7" t="s">
        <v>248</v>
      </c>
    </row>
    <row r="58" customFormat="false" ht="15" hidden="false" customHeight="false" outlineLevel="0" collapsed="false">
      <c r="A58" s="7" t="n">
        <v>57</v>
      </c>
      <c r="B58" s="7" t="s">
        <v>292</v>
      </c>
      <c r="C58" s="7" t="s">
        <v>293</v>
      </c>
      <c r="D58" s="7" t="s">
        <v>281</v>
      </c>
      <c r="E58" s="7" t="s">
        <v>294</v>
      </c>
      <c r="F58" s="7" t="s">
        <v>81</v>
      </c>
      <c r="G58" s="7" t="s">
        <v>283</v>
      </c>
      <c r="H58" s="7" t="s">
        <v>191</v>
      </c>
      <c r="I58" s="7" t="s">
        <v>295</v>
      </c>
      <c r="J58" s="7" t="s">
        <v>247</v>
      </c>
      <c r="K58" s="7" t="s">
        <v>248</v>
      </c>
    </row>
    <row r="59" customFormat="false" ht="23.85" hidden="false" customHeight="false" outlineLevel="0" collapsed="false">
      <c r="A59" s="7" t="n">
        <v>58</v>
      </c>
      <c r="B59" s="7" t="s">
        <v>296</v>
      </c>
      <c r="C59" s="7" t="s">
        <v>297</v>
      </c>
      <c r="D59" s="7" t="s">
        <v>281</v>
      </c>
      <c r="E59" s="7" t="s">
        <v>298</v>
      </c>
      <c r="F59" s="7" t="s">
        <v>29</v>
      </c>
      <c r="G59" s="7" t="s">
        <v>283</v>
      </c>
      <c r="H59" s="7" t="s">
        <v>191</v>
      </c>
      <c r="I59" s="7" t="s">
        <v>299</v>
      </c>
      <c r="J59" s="7" t="s">
        <v>247</v>
      </c>
      <c r="K59" s="7" t="s">
        <v>248</v>
      </c>
    </row>
    <row r="60" customFormat="false" ht="15" hidden="false" customHeight="false" outlineLevel="0" collapsed="false">
      <c r="A60" s="7" t="n">
        <v>59</v>
      </c>
      <c r="B60" s="7" t="s">
        <v>300</v>
      </c>
      <c r="C60" s="7" t="s">
        <v>301</v>
      </c>
      <c r="D60" s="7" t="s">
        <v>281</v>
      </c>
      <c r="E60" s="7" t="s">
        <v>302</v>
      </c>
      <c r="F60" s="7" t="s">
        <v>29</v>
      </c>
      <c r="G60" s="7" t="s">
        <v>283</v>
      </c>
      <c r="H60" s="7" t="s">
        <v>191</v>
      </c>
      <c r="I60" s="7" t="s">
        <v>303</v>
      </c>
      <c r="J60" s="7" t="s">
        <v>247</v>
      </c>
      <c r="K60" s="7" t="s">
        <v>248</v>
      </c>
    </row>
    <row r="61" customFormat="false" ht="23.85" hidden="false" customHeight="false" outlineLevel="0" collapsed="false">
      <c r="A61" s="7" t="n">
        <v>60</v>
      </c>
      <c r="B61" s="7" t="s">
        <v>304</v>
      </c>
      <c r="C61" s="7" t="s">
        <v>305</v>
      </c>
      <c r="D61" s="7" t="s">
        <v>281</v>
      </c>
      <c r="E61" s="7" t="s">
        <v>306</v>
      </c>
      <c r="F61" s="7" t="s">
        <v>29</v>
      </c>
      <c r="G61" s="7" t="s">
        <v>307</v>
      </c>
      <c r="H61" s="7" t="s">
        <v>308</v>
      </c>
      <c r="I61" s="7" t="s">
        <v>309</v>
      </c>
      <c r="J61" s="7" t="s">
        <v>247</v>
      </c>
      <c r="K61" s="7" t="s">
        <v>248</v>
      </c>
    </row>
    <row r="62" customFormat="false" ht="23.85" hidden="false" customHeight="false" outlineLevel="0" collapsed="false">
      <c r="A62" s="7" t="n">
        <v>61</v>
      </c>
      <c r="B62" s="7" t="s">
        <v>310</v>
      </c>
      <c r="C62" s="7" t="s">
        <v>311</v>
      </c>
      <c r="D62" s="7" t="s">
        <v>281</v>
      </c>
      <c r="E62" s="7" t="s">
        <v>312</v>
      </c>
      <c r="F62" s="7" t="s">
        <v>29</v>
      </c>
      <c r="G62" s="7" t="s">
        <v>307</v>
      </c>
      <c r="H62" s="7" t="s">
        <v>191</v>
      </c>
      <c r="I62" s="7" t="s">
        <v>313</v>
      </c>
      <c r="J62" s="7" t="s">
        <v>247</v>
      </c>
      <c r="K62" s="7" t="s">
        <v>248</v>
      </c>
    </row>
    <row r="63" customFormat="false" ht="15" hidden="false" customHeight="false" outlineLevel="0" collapsed="false">
      <c r="A63" s="7" t="n">
        <v>62</v>
      </c>
      <c r="B63" s="7" t="s">
        <v>314</v>
      </c>
      <c r="C63" s="7" t="s">
        <v>315</v>
      </c>
      <c r="D63" s="7" t="s">
        <v>281</v>
      </c>
      <c r="E63" s="7" t="s">
        <v>316</v>
      </c>
      <c r="F63" s="7" t="s">
        <v>29</v>
      </c>
      <c r="G63" s="7" t="s">
        <v>307</v>
      </c>
      <c r="H63" s="7" t="s">
        <v>191</v>
      </c>
      <c r="I63" s="7" t="s">
        <v>317</v>
      </c>
      <c r="J63" s="7" t="s">
        <v>247</v>
      </c>
      <c r="K63" s="7" t="s">
        <v>248</v>
      </c>
    </row>
    <row r="64" customFormat="false" ht="23.85" hidden="false" customHeight="false" outlineLevel="0" collapsed="false">
      <c r="A64" s="7" t="n">
        <v>63</v>
      </c>
      <c r="B64" s="7" t="s">
        <v>318</v>
      </c>
      <c r="C64" s="7" t="s">
        <v>319</v>
      </c>
      <c r="D64" s="7" t="s">
        <v>281</v>
      </c>
      <c r="E64" s="7" t="s">
        <v>320</v>
      </c>
      <c r="F64" s="7" t="s">
        <v>29</v>
      </c>
      <c r="G64" s="7" t="s">
        <v>307</v>
      </c>
      <c r="H64" s="7" t="s">
        <v>321</v>
      </c>
      <c r="I64" s="7" t="s">
        <v>322</v>
      </c>
      <c r="J64" s="7" t="s">
        <v>247</v>
      </c>
      <c r="K64" s="7" t="s">
        <v>248</v>
      </c>
    </row>
    <row r="65" customFormat="false" ht="23.85" hidden="false" customHeight="false" outlineLevel="0" collapsed="false">
      <c r="A65" s="7" t="n">
        <v>64</v>
      </c>
      <c r="B65" s="7" t="s">
        <v>323</v>
      </c>
      <c r="C65" s="7" t="s">
        <v>324</v>
      </c>
      <c r="D65" s="7" t="s">
        <v>281</v>
      </c>
      <c r="E65" s="7" t="s">
        <v>325</v>
      </c>
      <c r="F65" s="7" t="s">
        <v>29</v>
      </c>
      <c r="G65" s="7" t="s">
        <v>307</v>
      </c>
      <c r="H65" s="7" t="s">
        <v>191</v>
      </c>
      <c r="I65" s="7" t="s">
        <v>326</v>
      </c>
      <c r="J65" s="7" t="s">
        <v>247</v>
      </c>
      <c r="K65" s="7" t="s">
        <v>248</v>
      </c>
    </row>
    <row r="66" customFormat="false" ht="15" hidden="false" customHeight="false" outlineLevel="0" collapsed="false">
      <c r="A66" s="7" t="n">
        <v>65</v>
      </c>
      <c r="B66" s="7" t="s">
        <v>327</v>
      </c>
      <c r="C66" s="7" t="s">
        <v>328</v>
      </c>
      <c r="D66" s="7" t="s">
        <v>281</v>
      </c>
      <c r="E66" s="7" t="s">
        <v>329</v>
      </c>
      <c r="F66" s="7" t="s">
        <v>29</v>
      </c>
      <c r="G66" s="7" t="s">
        <v>307</v>
      </c>
      <c r="H66" s="7" t="s">
        <v>191</v>
      </c>
      <c r="I66" s="7" t="s">
        <v>330</v>
      </c>
      <c r="J66" s="7" t="s">
        <v>247</v>
      </c>
      <c r="K66" s="7" t="s">
        <v>248</v>
      </c>
    </row>
    <row r="67" customFormat="false" ht="23.85" hidden="false" customHeight="false" outlineLevel="0" collapsed="false">
      <c r="A67" s="7" t="n">
        <v>66</v>
      </c>
      <c r="B67" s="7" t="s">
        <v>331</v>
      </c>
      <c r="C67" s="7" t="s">
        <v>332</v>
      </c>
      <c r="D67" s="7" t="s">
        <v>281</v>
      </c>
      <c r="E67" s="7" t="s">
        <v>333</v>
      </c>
      <c r="F67" s="7" t="s">
        <v>81</v>
      </c>
      <c r="G67" s="7" t="s">
        <v>307</v>
      </c>
      <c r="H67" s="7" t="s">
        <v>191</v>
      </c>
      <c r="I67" s="7" t="s">
        <v>334</v>
      </c>
      <c r="J67" s="7" t="s">
        <v>247</v>
      </c>
      <c r="K67" s="7" t="s">
        <v>248</v>
      </c>
    </row>
    <row r="68" customFormat="false" ht="23.85" hidden="false" customHeight="false" outlineLevel="0" collapsed="false">
      <c r="A68" s="7" t="n">
        <v>67</v>
      </c>
      <c r="B68" s="7" t="s">
        <v>335</v>
      </c>
      <c r="C68" s="7" t="s">
        <v>336</v>
      </c>
      <c r="D68" s="7" t="s">
        <v>281</v>
      </c>
      <c r="E68" s="7" t="s">
        <v>337</v>
      </c>
      <c r="F68" s="7" t="s">
        <v>29</v>
      </c>
      <c r="G68" s="7" t="s">
        <v>307</v>
      </c>
      <c r="H68" s="7" t="s">
        <v>191</v>
      </c>
      <c r="I68" s="7" t="s">
        <v>338</v>
      </c>
      <c r="J68" s="7" t="s">
        <v>247</v>
      </c>
      <c r="K68" s="7" t="s">
        <v>248</v>
      </c>
    </row>
    <row r="69" customFormat="false" ht="23.85" hidden="false" customHeight="false" outlineLevel="0" collapsed="false">
      <c r="A69" s="7" t="n">
        <v>68</v>
      </c>
      <c r="B69" s="7" t="s">
        <v>339</v>
      </c>
      <c r="C69" s="7" t="s">
        <v>340</v>
      </c>
      <c r="D69" s="7" t="s">
        <v>281</v>
      </c>
      <c r="E69" s="7" t="s">
        <v>341</v>
      </c>
      <c r="F69" s="7" t="s">
        <v>29</v>
      </c>
      <c r="G69" s="7" t="s">
        <v>307</v>
      </c>
      <c r="H69" s="7" t="s">
        <v>191</v>
      </c>
      <c r="I69" s="7" t="s">
        <v>342</v>
      </c>
      <c r="J69" s="7" t="s">
        <v>247</v>
      </c>
      <c r="K69" s="7" t="s">
        <v>248</v>
      </c>
    </row>
    <row r="70" customFormat="false" ht="23.85" hidden="false" customHeight="false" outlineLevel="0" collapsed="false">
      <c r="A70" s="7" t="n">
        <v>69</v>
      </c>
      <c r="B70" s="7" t="s">
        <v>343</v>
      </c>
      <c r="C70" s="7" t="s">
        <v>344</v>
      </c>
      <c r="D70" s="7" t="s">
        <v>281</v>
      </c>
      <c r="E70" s="7" t="s">
        <v>345</v>
      </c>
      <c r="F70" s="7" t="s">
        <v>29</v>
      </c>
      <c r="G70" s="7" t="s">
        <v>307</v>
      </c>
      <c r="H70" s="7" t="s">
        <v>321</v>
      </c>
      <c r="I70" s="7" t="s">
        <v>346</v>
      </c>
      <c r="J70" s="7" t="s">
        <v>247</v>
      </c>
      <c r="K70" s="7" t="s">
        <v>248</v>
      </c>
    </row>
    <row r="71" customFormat="false" ht="15" hidden="false" customHeight="false" outlineLevel="0" collapsed="false">
      <c r="A71" s="7" t="n">
        <v>70</v>
      </c>
      <c r="B71" s="7" t="s">
        <v>347</v>
      </c>
      <c r="C71" s="7" t="s">
        <v>348</v>
      </c>
      <c r="D71" s="7" t="s">
        <v>281</v>
      </c>
      <c r="E71" s="7" t="s">
        <v>349</v>
      </c>
      <c r="F71" s="7" t="s">
        <v>29</v>
      </c>
      <c r="G71" s="7" t="s">
        <v>307</v>
      </c>
      <c r="H71" s="7" t="s">
        <v>191</v>
      </c>
      <c r="I71" s="7" t="s">
        <v>350</v>
      </c>
      <c r="J71" s="7" t="s">
        <v>247</v>
      </c>
      <c r="K71" s="7" t="s">
        <v>248</v>
      </c>
    </row>
    <row r="72" customFormat="false" ht="23.85" hidden="false" customHeight="false" outlineLevel="0" collapsed="false">
      <c r="A72" s="7" t="n">
        <v>71</v>
      </c>
      <c r="B72" s="7" t="s">
        <v>351</v>
      </c>
      <c r="C72" s="7" t="s">
        <v>352</v>
      </c>
      <c r="D72" s="7" t="s">
        <v>281</v>
      </c>
      <c r="E72" s="7" t="s">
        <v>353</v>
      </c>
      <c r="F72" s="7" t="s">
        <v>29</v>
      </c>
      <c r="G72" s="7" t="s">
        <v>307</v>
      </c>
      <c r="H72" s="7" t="s">
        <v>191</v>
      </c>
      <c r="I72" s="7" t="s">
        <v>354</v>
      </c>
      <c r="J72" s="7" t="s">
        <v>247</v>
      </c>
      <c r="K72" s="7" t="s">
        <v>248</v>
      </c>
    </row>
    <row r="73" customFormat="false" ht="15" hidden="false" customHeight="false" outlineLevel="0" collapsed="false">
      <c r="A73" s="7" t="n">
        <v>72</v>
      </c>
      <c r="B73" s="7" t="s">
        <v>355</v>
      </c>
      <c r="C73" s="7" t="s">
        <v>356</v>
      </c>
      <c r="D73" s="7" t="s">
        <v>281</v>
      </c>
      <c r="E73" s="7" t="s">
        <v>357</v>
      </c>
      <c r="F73" s="7" t="s">
        <v>29</v>
      </c>
      <c r="G73" s="7" t="s">
        <v>307</v>
      </c>
      <c r="H73" s="7" t="s">
        <v>191</v>
      </c>
      <c r="I73" s="7" t="s">
        <v>358</v>
      </c>
      <c r="J73" s="7" t="s">
        <v>247</v>
      </c>
      <c r="K73" s="7" t="s">
        <v>248</v>
      </c>
    </row>
    <row r="74" customFormat="false" ht="23.85" hidden="false" customHeight="false" outlineLevel="0" collapsed="false">
      <c r="A74" s="7" t="n">
        <v>73</v>
      </c>
      <c r="B74" s="7" t="s">
        <v>359</v>
      </c>
      <c r="C74" s="7" t="s">
        <v>360</v>
      </c>
      <c r="D74" s="7" t="s">
        <v>281</v>
      </c>
      <c r="E74" s="7" t="s">
        <v>361</v>
      </c>
      <c r="F74" s="7" t="s">
        <v>29</v>
      </c>
      <c r="G74" s="7" t="s">
        <v>307</v>
      </c>
      <c r="H74" s="7" t="s">
        <v>191</v>
      </c>
      <c r="I74" s="7" t="s">
        <v>362</v>
      </c>
      <c r="J74" s="7" t="s">
        <v>247</v>
      </c>
      <c r="K74" s="7" t="s">
        <v>248</v>
      </c>
    </row>
    <row r="75" customFormat="false" ht="15" hidden="false" customHeight="false" outlineLevel="0" collapsed="false">
      <c r="A75" s="7" t="n">
        <v>74</v>
      </c>
      <c r="B75" s="7" t="s">
        <v>363</v>
      </c>
      <c r="C75" s="7" t="s">
        <v>364</v>
      </c>
      <c r="D75" s="7" t="s">
        <v>281</v>
      </c>
      <c r="E75" s="7" t="s">
        <v>365</v>
      </c>
      <c r="F75" s="7" t="s">
        <v>81</v>
      </c>
      <c r="G75" s="7" t="s">
        <v>307</v>
      </c>
      <c r="H75" s="7" t="s">
        <v>191</v>
      </c>
      <c r="I75" s="7" t="s">
        <v>366</v>
      </c>
      <c r="J75" s="7" t="s">
        <v>247</v>
      </c>
      <c r="K75" s="7" t="s">
        <v>248</v>
      </c>
    </row>
    <row r="76" customFormat="false" ht="35.05" hidden="false" customHeight="false" outlineLevel="0" collapsed="false">
      <c r="A76" s="7" t="n">
        <v>75</v>
      </c>
      <c r="B76" s="7" t="s">
        <v>367</v>
      </c>
      <c r="C76" s="7" t="s">
        <v>368</v>
      </c>
      <c r="D76" s="7" t="s">
        <v>281</v>
      </c>
      <c r="E76" s="7" t="s">
        <v>369</v>
      </c>
      <c r="F76" s="7" t="s">
        <v>136</v>
      </c>
      <c r="G76" s="7" t="s">
        <v>307</v>
      </c>
      <c r="H76" s="7" t="s">
        <v>191</v>
      </c>
      <c r="I76" s="7" t="s">
        <v>370</v>
      </c>
      <c r="J76" s="7" t="s">
        <v>247</v>
      </c>
      <c r="K76" s="7" t="s">
        <v>248</v>
      </c>
    </row>
    <row r="77" customFormat="false" ht="23.85" hidden="false" customHeight="false" outlineLevel="0" collapsed="false">
      <c r="A77" s="7" t="n">
        <v>76</v>
      </c>
      <c r="B77" s="7" t="s">
        <v>371</v>
      </c>
      <c r="C77" s="7" t="s">
        <v>372</v>
      </c>
      <c r="D77" s="7" t="s">
        <v>281</v>
      </c>
      <c r="E77" s="7" t="s">
        <v>373</v>
      </c>
      <c r="F77" s="7" t="s">
        <v>81</v>
      </c>
      <c r="G77" s="7" t="s">
        <v>374</v>
      </c>
      <c r="H77" s="7" t="s">
        <v>191</v>
      </c>
      <c r="I77" s="7" t="s">
        <v>375</v>
      </c>
      <c r="J77" s="7" t="s">
        <v>247</v>
      </c>
      <c r="K77" s="7" t="s">
        <v>248</v>
      </c>
    </row>
    <row r="78" customFormat="false" ht="23.85" hidden="false" customHeight="false" outlineLevel="0" collapsed="false">
      <c r="A78" s="7" t="n">
        <v>77</v>
      </c>
      <c r="B78" s="7" t="s">
        <v>376</v>
      </c>
      <c r="C78" s="7" t="s">
        <v>377</v>
      </c>
      <c r="D78" s="7" t="s">
        <v>200</v>
      </c>
      <c r="E78" s="7" t="s">
        <v>378</v>
      </c>
      <c r="F78" s="7" t="s">
        <v>81</v>
      </c>
      <c r="G78" s="7" t="s">
        <v>379</v>
      </c>
      <c r="H78" s="7" t="s">
        <v>76</v>
      </c>
      <c r="I78" s="7" t="s">
        <v>380</v>
      </c>
      <c r="J78" s="7" t="s">
        <v>247</v>
      </c>
      <c r="K78" s="7" t="s">
        <v>248</v>
      </c>
    </row>
    <row r="79" customFormat="false" ht="23.85" hidden="false" customHeight="false" outlineLevel="0" collapsed="false">
      <c r="A79" s="7" t="n">
        <v>78</v>
      </c>
      <c r="B79" s="7" t="s">
        <v>381</v>
      </c>
      <c r="C79" s="7" t="s">
        <v>382</v>
      </c>
      <c r="D79" s="7" t="s">
        <v>281</v>
      </c>
      <c r="E79" s="7" t="s">
        <v>383</v>
      </c>
      <c r="F79" s="7" t="s">
        <v>136</v>
      </c>
      <c r="G79" s="7" t="s">
        <v>379</v>
      </c>
      <c r="H79" s="7" t="s">
        <v>191</v>
      </c>
      <c r="I79" s="7" t="s">
        <v>384</v>
      </c>
      <c r="J79" s="7" t="s">
        <v>247</v>
      </c>
      <c r="K79" s="7" t="s">
        <v>248</v>
      </c>
    </row>
    <row r="80" customFormat="false" ht="23.85" hidden="false" customHeight="false" outlineLevel="0" collapsed="false">
      <c r="A80" s="7" t="n">
        <v>79</v>
      </c>
      <c r="B80" s="7" t="s">
        <v>385</v>
      </c>
      <c r="C80" s="7" t="s">
        <v>386</v>
      </c>
      <c r="D80" s="7" t="s">
        <v>281</v>
      </c>
      <c r="E80" s="7" t="s">
        <v>383</v>
      </c>
      <c r="F80" s="7" t="s">
        <v>29</v>
      </c>
      <c r="G80" s="7" t="s">
        <v>379</v>
      </c>
      <c r="H80" s="7" t="s">
        <v>191</v>
      </c>
      <c r="I80" s="7" t="s">
        <v>387</v>
      </c>
      <c r="J80" s="7" t="s">
        <v>247</v>
      </c>
      <c r="K80" s="7" t="s">
        <v>248</v>
      </c>
    </row>
    <row r="81" customFormat="false" ht="23.85" hidden="false" customHeight="false" outlineLevel="0" collapsed="false">
      <c r="A81" s="7" t="n">
        <v>80</v>
      </c>
      <c r="B81" s="7" t="s">
        <v>388</v>
      </c>
      <c r="C81" s="7" t="s">
        <v>389</v>
      </c>
      <c r="D81" s="7" t="s">
        <v>281</v>
      </c>
      <c r="E81" s="7" t="s">
        <v>383</v>
      </c>
      <c r="F81" s="7" t="s">
        <v>29</v>
      </c>
      <c r="G81" s="7" t="s">
        <v>379</v>
      </c>
      <c r="H81" s="7" t="s">
        <v>191</v>
      </c>
      <c r="I81" s="7" t="s">
        <v>390</v>
      </c>
      <c r="J81" s="7" t="s">
        <v>247</v>
      </c>
      <c r="K81" s="7" t="s">
        <v>248</v>
      </c>
    </row>
    <row r="82" customFormat="false" ht="23.85" hidden="false" customHeight="false" outlineLevel="0" collapsed="false">
      <c r="A82" s="7" t="n">
        <v>81</v>
      </c>
      <c r="B82" s="7" t="s">
        <v>391</v>
      </c>
      <c r="C82" s="7" t="s">
        <v>392</v>
      </c>
      <c r="D82" s="7" t="s">
        <v>281</v>
      </c>
      <c r="E82" s="7" t="s">
        <v>383</v>
      </c>
      <c r="F82" s="7" t="s">
        <v>29</v>
      </c>
      <c r="G82" s="7" t="s">
        <v>379</v>
      </c>
      <c r="H82" s="7" t="s">
        <v>191</v>
      </c>
      <c r="I82" s="7" t="s">
        <v>393</v>
      </c>
      <c r="J82" s="7" t="s">
        <v>247</v>
      </c>
      <c r="K82" s="7" t="s">
        <v>248</v>
      </c>
    </row>
    <row r="83" customFormat="false" ht="23.85" hidden="false" customHeight="false" outlineLevel="0" collapsed="false">
      <c r="A83" s="7" t="n">
        <v>82</v>
      </c>
      <c r="B83" s="7" t="s">
        <v>394</v>
      </c>
      <c r="C83" s="7" t="s">
        <v>395</v>
      </c>
      <c r="D83" s="7" t="s">
        <v>281</v>
      </c>
      <c r="E83" s="7" t="s">
        <v>396</v>
      </c>
      <c r="F83" s="7" t="s">
        <v>29</v>
      </c>
      <c r="G83" s="7" t="s">
        <v>379</v>
      </c>
      <c r="H83" s="7" t="s">
        <v>191</v>
      </c>
      <c r="I83" s="7" t="s">
        <v>397</v>
      </c>
      <c r="J83" s="7" t="s">
        <v>247</v>
      </c>
      <c r="K83" s="7" t="s">
        <v>248</v>
      </c>
    </row>
    <row r="84" customFormat="false" ht="23.85" hidden="false" customHeight="false" outlineLevel="0" collapsed="false">
      <c r="A84" s="7" t="n">
        <v>83</v>
      </c>
      <c r="B84" s="7" t="s">
        <v>398</v>
      </c>
      <c r="C84" s="7" t="s">
        <v>399</v>
      </c>
      <c r="D84" s="7" t="s">
        <v>281</v>
      </c>
      <c r="E84" s="7" t="s">
        <v>400</v>
      </c>
      <c r="F84" s="7" t="s">
        <v>29</v>
      </c>
      <c r="G84" s="7" t="s">
        <v>379</v>
      </c>
      <c r="H84" s="7" t="s">
        <v>191</v>
      </c>
      <c r="I84" s="7" t="s">
        <v>401</v>
      </c>
      <c r="J84" s="7" t="s">
        <v>247</v>
      </c>
      <c r="K84" s="7" t="s">
        <v>248</v>
      </c>
    </row>
  </sheetData>
  <autoFilter ref="A1:K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4"/>
    <col collapsed="false" customWidth="true" hidden="false" outlineLevel="0" max="3" min="3" style="1" width="44"/>
    <col collapsed="false" customWidth="true" hidden="false" outlineLevel="0" max="4" min="4" style="1" width="30"/>
    <col collapsed="false" customWidth="true" hidden="false" outlineLevel="0" max="5" min="5" style="1" width="50"/>
  </cols>
  <sheetData>
    <row r="1" customFormat="false" ht="23.85" hidden="false" customHeight="false" outlineLevel="0" collapsed="false">
      <c r="A1" s="5" t="s">
        <v>402</v>
      </c>
      <c r="B1" s="5" t="s">
        <v>403</v>
      </c>
      <c r="C1" s="5" t="s">
        <v>404</v>
      </c>
      <c r="D1" s="5" t="s">
        <v>405</v>
      </c>
      <c r="E1" s="5" t="s">
        <v>406</v>
      </c>
    </row>
    <row r="2" customFormat="false" ht="46.25" hidden="false" customHeight="false" outlineLevel="0" collapsed="false">
      <c r="A2" s="6" t="s">
        <v>76</v>
      </c>
      <c r="B2" s="6" t="s">
        <v>407</v>
      </c>
      <c r="C2" s="6" t="s">
        <v>408</v>
      </c>
      <c r="D2" s="6" t="s">
        <v>409</v>
      </c>
      <c r="E2" s="6" t="s">
        <v>410</v>
      </c>
    </row>
    <row r="3" customFormat="false" ht="15" hidden="false" customHeight="false" outlineLevel="0" collapsed="false">
      <c r="A3" s="6" t="s">
        <v>411</v>
      </c>
      <c r="B3" s="6" t="s">
        <v>412</v>
      </c>
      <c r="C3" s="6" t="s">
        <v>240</v>
      </c>
      <c r="D3" s="6" t="s">
        <v>413</v>
      </c>
      <c r="E3" s="6" t="s">
        <v>414</v>
      </c>
    </row>
    <row r="4" customFormat="false" ht="15" hidden="false" customHeight="false" outlineLevel="0" collapsed="false">
      <c r="A4" s="6" t="s">
        <v>415</v>
      </c>
      <c r="B4" s="6" t="s">
        <v>412</v>
      </c>
      <c r="C4" s="6" t="s">
        <v>240</v>
      </c>
      <c r="D4" s="6" t="s">
        <v>413</v>
      </c>
      <c r="E4" s="6" t="s">
        <v>416</v>
      </c>
    </row>
    <row r="5" customFormat="false" ht="15" hidden="false" customHeight="false" outlineLevel="0" collapsed="false">
      <c r="A5" s="6" t="s">
        <v>417</v>
      </c>
      <c r="B5" s="6" t="s">
        <v>407</v>
      </c>
      <c r="C5" s="6" t="s">
        <v>249</v>
      </c>
      <c r="D5" s="6" t="s">
        <v>418</v>
      </c>
      <c r="E5" s="6" t="s">
        <v>419</v>
      </c>
    </row>
    <row r="6" customFormat="false" ht="35.05" hidden="false" customHeight="false" outlineLevel="0" collapsed="false">
      <c r="A6" s="6" t="s">
        <v>420</v>
      </c>
      <c r="B6" s="6" t="s">
        <v>421</v>
      </c>
      <c r="C6" s="6" t="s">
        <v>422</v>
      </c>
      <c r="D6" s="6" t="s">
        <v>423</v>
      </c>
      <c r="E6" s="6" t="s">
        <v>424</v>
      </c>
    </row>
    <row r="7" customFormat="false" ht="23.85" hidden="false" customHeight="false" outlineLevel="0" collapsed="false">
      <c r="A7" s="6" t="s">
        <v>269</v>
      </c>
      <c r="B7" s="6" t="s">
        <v>412</v>
      </c>
      <c r="C7" s="6" t="s">
        <v>267</v>
      </c>
      <c r="D7" s="6" t="s">
        <v>425</v>
      </c>
      <c r="E7" s="6" t="s">
        <v>426</v>
      </c>
    </row>
    <row r="8" customFormat="false" ht="15" hidden="false" customHeight="false" outlineLevel="0" collapsed="false">
      <c r="A8" s="6" t="s">
        <v>261</v>
      </c>
      <c r="B8" s="6" t="s">
        <v>427</v>
      </c>
      <c r="C8" s="6" t="s">
        <v>259</v>
      </c>
      <c r="D8" s="6" t="s">
        <v>428</v>
      </c>
      <c r="E8" s="6" t="s">
        <v>429</v>
      </c>
    </row>
    <row r="9" customFormat="false" ht="15" hidden="false" customHeight="false" outlineLevel="0" collapsed="false">
      <c r="A9" s="6" t="s">
        <v>169</v>
      </c>
      <c r="B9" s="6" t="s">
        <v>430</v>
      </c>
      <c r="C9" s="6" t="s">
        <v>431</v>
      </c>
      <c r="D9" s="6" t="s">
        <v>428</v>
      </c>
      <c r="E9" s="6" t="s">
        <v>191</v>
      </c>
    </row>
    <row r="10" customFormat="false" ht="15" hidden="false" customHeight="false" outlineLevel="0" collapsed="false">
      <c r="A10" s="6" t="s">
        <v>265</v>
      </c>
      <c r="B10" s="6" t="s">
        <v>432</v>
      </c>
      <c r="C10" s="6" t="s">
        <v>263</v>
      </c>
      <c r="D10" s="6" t="s">
        <v>428</v>
      </c>
      <c r="E10" s="6" t="s">
        <v>191</v>
      </c>
    </row>
    <row r="11" customFormat="false" ht="15" hidden="false" customHeight="false" outlineLevel="0" collapsed="false">
      <c r="A11" s="6" t="s">
        <v>433</v>
      </c>
      <c r="B11" s="6" t="s">
        <v>434</v>
      </c>
      <c r="C11" s="6" t="s">
        <v>435</v>
      </c>
      <c r="D11" s="6" t="s">
        <v>436</v>
      </c>
      <c r="E11" s="6" t="s">
        <v>426</v>
      </c>
    </row>
    <row r="12" customFormat="false" ht="15" hidden="false" customHeight="false" outlineLevel="0" collapsed="false">
      <c r="A12" s="6" t="s">
        <v>437</v>
      </c>
      <c r="B12" s="6" t="s">
        <v>438</v>
      </c>
      <c r="C12" s="6" t="s">
        <v>249</v>
      </c>
      <c r="D12" s="6" t="s">
        <v>418</v>
      </c>
      <c r="E12" s="6" t="s">
        <v>419</v>
      </c>
    </row>
    <row r="13" customFormat="false" ht="15" hidden="false" customHeight="false" outlineLevel="0" collapsed="false">
      <c r="A13" s="6" t="s">
        <v>257</v>
      </c>
      <c r="B13" s="6" t="s">
        <v>434</v>
      </c>
      <c r="C13" s="6" t="s">
        <v>254</v>
      </c>
      <c r="D13" s="6" t="s">
        <v>418</v>
      </c>
      <c r="E13" s="6" t="s">
        <v>439</v>
      </c>
    </row>
    <row r="14" customFormat="false" ht="23.85" hidden="false" customHeight="false" outlineLevel="0" collapsed="false">
      <c r="A14" s="6" t="s">
        <v>277</v>
      </c>
      <c r="B14" s="6" t="s">
        <v>412</v>
      </c>
      <c r="C14" s="6" t="s">
        <v>274</v>
      </c>
      <c r="D14" s="6" t="s">
        <v>440</v>
      </c>
      <c r="E14" s="6" t="s">
        <v>441</v>
      </c>
    </row>
    <row r="15" customFormat="false" ht="15" hidden="false" customHeight="false" outlineLevel="0" collapsed="false">
      <c r="A15" s="6" t="s">
        <v>442</v>
      </c>
      <c r="B15" s="6" t="s">
        <v>407</v>
      </c>
      <c r="C15" s="6" t="s">
        <v>443</v>
      </c>
      <c r="D15" s="6" t="s">
        <v>418</v>
      </c>
      <c r="E15" s="6" t="s">
        <v>191</v>
      </c>
    </row>
    <row r="16" customFormat="false" ht="15" hidden="false" customHeight="false" outlineLevel="0" collapsed="false">
      <c r="A16" s="6" t="s">
        <v>272</v>
      </c>
      <c r="B16" s="6" t="s">
        <v>444</v>
      </c>
      <c r="C16" s="6" t="s">
        <v>445</v>
      </c>
      <c r="D16" s="6" t="s">
        <v>446</v>
      </c>
      <c r="E16" s="6" t="s">
        <v>447</v>
      </c>
    </row>
    <row r="17" customFormat="false" ht="23.85" hidden="false" customHeight="false" outlineLevel="0" collapsed="false">
      <c r="A17" s="6" t="s">
        <v>448</v>
      </c>
      <c r="B17" s="6" t="s">
        <v>412</v>
      </c>
      <c r="C17" s="6" t="s">
        <v>449</v>
      </c>
      <c r="D17" s="6" t="s">
        <v>450</v>
      </c>
      <c r="E17" s="6" t="s">
        <v>451</v>
      </c>
    </row>
  </sheetData>
  <autoFilter ref="A1:E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26"/>
    <col collapsed="false" customWidth="true" hidden="false" outlineLevel="0" max="4" min="4" style="1" width="28"/>
    <col collapsed="false" customWidth="true" hidden="false" outlineLevel="0" max="5" min="5" style="1" width="50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32"/>
  </cols>
  <sheetData>
    <row r="1" customFormat="false" ht="23.85" hidden="false" customHeight="false" outlineLevel="0" collapsed="false">
      <c r="A1" s="5" t="s">
        <v>452</v>
      </c>
      <c r="B1" s="5" t="s">
        <v>453</v>
      </c>
      <c r="C1" s="5" t="s">
        <v>454</v>
      </c>
      <c r="D1" s="5" t="s">
        <v>455</v>
      </c>
      <c r="E1" s="5" t="s">
        <v>456</v>
      </c>
      <c r="F1" s="5" t="s">
        <v>457</v>
      </c>
      <c r="G1" s="5" t="s">
        <v>458</v>
      </c>
      <c r="H1" s="5" t="s">
        <v>459</v>
      </c>
    </row>
    <row r="2" customFormat="false" ht="35.05" hidden="false" customHeight="false" outlineLevel="0" collapsed="false">
      <c r="A2" s="6" t="s">
        <v>460</v>
      </c>
      <c r="B2" s="6" t="s">
        <v>461</v>
      </c>
      <c r="C2" s="6" t="s">
        <v>462</v>
      </c>
      <c r="D2" s="6" t="s">
        <v>463</v>
      </c>
      <c r="E2" s="6" t="s">
        <v>464</v>
      </c>
      <c r="F2" s="6" t="s">
        <v>465</v>
      </c>
      <c r="G2" s="6" t="s">
        <v>466</v>
      </c>
      <c r="H2" s="6" t="s">
        <v>467</v>
      </c>
    </row>
    <row r="3" customFormat="false" ht="46.25" hidden="false" customHeight="false" outlineLevel="0" collapsed="false">
      <c r="A3" s="6" t="s">
        <v>468</v>
      </c>
      <c r="B3" s="6" t="s">
        <v>469</v>
      </c>
      <c r="C3" s="6" t="s">
        <v>470</v>
      </c>
      <c r="D3" s="6" t="s">
        <v>471</v>
      </c>
      <c r="E3" s="6" t="s">
        <v>472</v>
      </c>
      <c r="F3" s="6" t="s">
        <v>473</v>
      </c>
      <c r="G3" s="6" t="s">
        <v>474</v>
      </c>
      <c r="H3" s="6" t="s">
        <v>475</v>
      </c>
    </row>
    <row r="4" customFormat="false" ht="35.05" hidden="false" customHeight="false" outlineLevel="0" collapsed="false">
      <c r="A4" s="6" t="s">
        <v>476</v>
      </c>
      <c r="B4" s="6" t="s">
        <v>477</v>
      </c>
      <c r="C4" s="6" t="s">
        <v>478</v>
      </c>
      <c r="D4" s="6" t="s">
        <v>479</v>
      </c>
      <c r="E4" s="6" t="s">
        <v>480</v>
      </c>
      <c r="F4" s="6" t="s">
        <v>481</v>
      </c>
      <c r="G4" s="6" t="s">
        <v>482</v>
      </c>
      <c r="H4" s="6" t="s">
        <v>483</v>
      </c>
    </row>
    <row r="5" customFormat="false" ht="23.85" hidden="false" customHeight="false" outlineLevel="0" collapsed="false">
      <c r="A5" s="7" t="s">
        <v>484</v>
      </c>
      <c r="B5" s="7" t="s">
        <v>485</v>
      </c>
      <c r="C5" s="7" t="s">
        <v>486</v>
      </c>
      <c r="D5" s="7" t="s">
        <v>487</v>
      </c>
      <c r="E5" s="7" t="s">
        <v>488</v>
      </c>
      <c r="F5" s="7" t="s">
        <v>489</v>
      </c>
      <c r="G5" s="7" t="s">
        <v>482</v>
      </c>
      <c r="H5" s="7" t="s">
        <v>490</v>
      </c>
    </row>
    <row r="6" customFormat="false" ht="57.45" hidden="false" customHeight="false" outlineLevel="0" collapsed="false">
      <c r="A6" s="6" t="s">
        <v>491</v>
      </c>
      <c r="B6" s="6" t="s">
        <v>492</v>
      </c>
      <c r="C6" s="6" t="s">
        <v>493</v>
      </c>
      <c r="D6" s="6" t="s">
        <v>494</v>
      </c>
      <c r="E6" s="6" t="s">
        <v>495</v>
      </c>
      <c r="F6" s="6" t="s">
        <v>191</v>
      </c>
      <c r="G6" s="6" t="s">
        <v>474</v>
      </c>
      <c r="H6" s="6" t="s">
        <v>496</v>
      </c>
    </row>
    <row r="7" customFormat="false" ht="35.05" hidden="false" customHeight="false" outlineLevel="0" collapsed="false">
      <c r="A7" s="7" t="s">
        <v>497</v>
      </c>
      <c r="B7" s="7" t="s">
        <v>498</v>
      </c>
      <c r="C7" s="7" t="s">
        <v>499</v>
      </c>
      <c r="D7" s="7" t="s">
        <v>500</v>
      </c>
      <c r="E7" s="7" t="s">
        <v>501</v>
      </c>
      <c r="F7" s="7" t="s">
        <v>502</v>
      </c>
      <c r="G7" s="7" t="s">
        <v>474</v>
      </c>
      <c r="H7" s="7" t="s">
        <v>503</v>
      </c>
    </row>
    <row r="8" customFormat="false" ht="35.05" hidden="false" customHeight="false" outlineLevel="0" collapsed="false">
      <c r="A8" s="6" t="s">
        <v>504</v>
      </c>
      <c r="B8" s="6" t="s">
        <v>505</v>
      </c>
      <c r="C8" s="6" t="s">
        <v>440</v>
      </c>
      <c r="D8" s="6" t="s">
        <v>506</v>
      </c>
      <c r="E8" s="6" t="s">
        <v>507</v>
      </c>
      <c r="F8" s="6" t="s">
        <v>191</v>
      </c>
      <c r="G8" s="6" t="s">
        <v>474</v>
      </c>
      <c r="H8" s="6" t="s">
        <v>508</v>
      </c>
    </row>
    <row r="9" customFormat="false" ht="35.05" hidden="false" customHeight="false" outlineLevel="0" collapsed="false">
      <c r="A9" s="6" t="s">
        <v>509</v>
      </c>
      <c r="B9" s="6" t="s">
        <v>510</v>
      </c>
      <c r="C9" s="6" t="s">
        <v>511</v>
      </c>
      <c r="D9" s="6" t="s">
        <v>512</v>
      </c>
      <c r="E9" s="6" t="s">
        <v>513</v>
      </c>
      <c r="F9" s="6" t="s">
        <v>191</v>
      </c>
      <c r="G9" s="6" t="s">
        <v>191</v>
      </c>
      <c r="H9" s="6" t="s">
        <v>64</v>
      </c>
    </row>
    <row r="10" customFormat="false" ht="57.45" hidden="false" customHeight="false" outlineLevel="0" collapsed="false">
      <c r="A10" s="6" t="s">
        <v>514</v>
      </c>
      <c r="B10" s="6" t="s">
        <v>515</v>
      </c>
      <c r="C10" s="6" t="s">
        <v>516</v>
      </c>
      <c r="D10" s="6" t="s">
        <v>517</v>
      </c>
      <c r="E10" s="6" t="s">
        <v>518</v>
      </c>
      <c r="F10" s="6" t="s">
        <v>191</v>
      </c>
      <c r="G10" s="6" t="s">
        <v>482</v>
      </c>
      <c r="H10" s="6" t="s">
        <v>519</v>
      </c>
    </row>
    <row r="11" customFormat="false" ht="23.85" hidden="false" customHeight="false" outlineLevel="0" collapsed="false">
      <c r="A11" s="6" t="s">
        <v>520</v>
      </c>
      <c r="B11" s="6" t="s">
        <v>521</v>
      </c>
      <c r="C11" s="6" t="s">
        <v>522</v>
      </c>
      <c r="D11" s="6" t="s">
        <v>523</v>
      </c>
      <c r="E11" s="6" t="s">
        <v>524</v>
      </c>
      <c r="F11" s="6" t="s">
        <v>525</v>
      </c>
      <c r="G11" s="6" t="s">
        <v>482</v>
      </c>
      <c r="H11" s="6" t="s">
        <v>526</v>
      </c>
    </row>
    <row r="12" customFormat="false" ht="35.05" hidden="false" customHeight="false" outlineLevel="0" collapsed="false">
      <c r="A12" s="6" t="s">
        <v>527</v>
      </c>
      <c r="B12" s="6" t="s">
        <v>528</v>
      </c>
      <c r="C12" s="6" t="s">
        <v>529</v>
      </c>
      <c r="D12" s="6" t="s">
        <v>530</v>
      </c>
      <c r="E12" s="6" t="s">
        <v>531</v>
      </c>
      <c r="F12" s="6" t="s">
        <v>489</v>
      </c>
      <c r="G12" s="6" t="s">
        <v>482</v>
      </c>
      <c r="H12" s="6" t="s">
        <v>532</v>
      </c>
    </row>
    <row r="13" customFormat="false" ht="35.05" hidden="false" customHeight="false" outlineLevel="0" collapsed="false">
      <c r="A13" s="7" t="s">
        <v>533</v>
      </c>
      <c r="B13" s="7" t="s">
        <v>534</v>
      </c>
      <c r="C13" s="7" t="s">
        <v>535</v>
      </c>
      <c r="D13" s="7" t="s">
        <v>536</v>
      </c>
      <c r="E13" s="7" t="s">
        <v>537</v>
      </c>
      <c r="F13" s="7" t="s">
        <v>538</v>
      </c>
      <c r="G13" s="7" t="s">
        <v>482</v>
      </c>
      <c r="H13" s="7" t="s">
        <v>539</v>
      </c>
    </row>
    <row r="14" customFormat="false" ht="23.85" hidden="false" customHeight="false" outlineLevel="0" collapsed="false">
      <c r="A14" s="7" t="s">
        <v>540</v>
      </c>
      <c r="B14" s="7" t="s">
        <v>541</v>
      </c>
      <c r="C14" s="7" t="s">
        <v>542</v>
      </c>
      <c r="D14" s="7" t="s">
        <v>543</v>
      </c>
      <c r="E14" s="7" t="s">
        <v>544</v>
      </c>
      <c r="F14" s="7" t="s">
        <v>191</v>
      </c>
      <c r="G14" s="7" t="s">
        <v>474</v>
      </c>
      <c r="H14" s="7" t="s">
        <v>545</v>
      </c>
    </row>
    <row r="15" customFormat="false" ht="35.05" hidden="false" customHeight="false" outlineLevel="0" collapsed="false">
      <c r="A15" s="6" t="s">
        <v>546</v>
      </c>
      <c r="B15" s="6" t="s">
        <v>547</v>
      </c>
      <c r="C15" s="6" t="s">
        <v>548</v>
      </c>
      <c r="D15" s="6" t="s">
        <v>549</v>
      </c>
      <c r="E15" s="6" t="s">
        <v>550</v>
      </c>
      <c r="F15" s="6" t="s">
        <v>551</v>
      </c>
      <c r="G15" s="6" t="s">
        <v>482</v>
      </c>
      <c r="H15" s="6" t="s">
        <v>552</v>
      </c>
    </row>
    <row r="16" customFormat="false" ht="46.25" hidden="false" customHeight="false" outlineLevel="0" collapsed="false">
      <c r="A16" s="6" t="s">
        <v>553</v>
      </c>
      <c r="B16" s="6" t="s">
        <v>554</v>
      </c>
      <c r="C16" s="6" t="s">
        <v>555</v>
      </c>
      <c r="D16" s="6" t="s">
        <v>556</v>
      </c>
      <c r="E16" s="6" t="s">
        <v>557</v>
      </c>
      <c r="F16" s="6" t="s">
        <v>191</v>
      </c>
      <c r="G16" s="6" t="s">
        <v>482</v>
      </c>
      <c r="H16" s="6" t="s">
        <v>558</v>
      </c>
    </row>
    <row r="17" customFormat="false" ht="46.25" hidden="false" customHeight="false" outlineLevel="0" collapsed="false">
      <c r="A17" s="7" t="s">
        <v>559</v>
      </c>
      <c r="B17" s="7" t="s">
        <v>560</v>
      </c>
      <c r="C17" s="7" t="s">
        <v>561</v>
      </c>
      <c r="D17" s="7" t="s">
        <v>562</v>
      </c>
      <c r="E17" s="7" t="s">
        <v>563</v>
      </c>
      <c r="F17" s="7" t="s">
        <v>489</v>
      </c>
      <c r="G17" s="7" t="s">
        <v>474</v>
      </c>
      <c r="H17" s="7" t="s">
        <v>503</v>
      </c>
    </row>
    <row r="18" customFormat="false" ht="35.05" hidden="false" customHeight="false" outlineLevel="0" collapsed="false">
      <c r="A18" s="7" t="s">
        <v>564</v>
      </c>
      <c r="B18" s="7" t="s">
        <v>565</v>
      </c>
      <c r="C18" s="7" t="s">
        <v>566</v>
      </c>
      <c r="D18" s="7" t="s">
        <v>567</v>
      </c>
      <c r="E18" s="7" t="s">
        <v>568</v>
      </c>
      <c r="F18" s="7" t="s">
        <v>191</v>
      </c>
      <c r="G18" s="7" t="s">
        <v>474</v>
      </c>
      <c r="H18" s="7" t="s">
        <v>503</v>
      </c>
    </row>
    <row r="19" customFormat="false" ht="23.85" hidden="false" customHeight="false" outlineLevel="0" collapsed="false">
      <c r="A19" s="6" t="s">
        <v>569</v>
      </c>
      <c r="B19" s="6" t="s">
        <v>570</v>
      </c>
      <c r="C19" s="6" t="s">
        <v>571</v>
      </c>
      <c r="D19" s="6" t="s">
        <v>572</v>
      </c>
      <c r="E19" s="6" t="s">
        <v>573</v>
      </c>
      <c r="F19" s="6" t="s">
        <v>489</v>
      </c>
      <c r="G19" s="6" t="s">
        <v>482</v>
      </c>
      <c r="H19" s="6" t="s">
        <v>526</v>
      </c>
    </row>
    <row r="20" customFormat="false" ht="23.85" hidden="false" customHeight="false" outlineLevel="0" collapsed="false">
      <c r="A20" s="6" t="s">
        <v>574</v>
      </c>
      <c r="B20" s="6" t="s">
        <v>575</v>
      </c>
      <c r="C20" s="6" t="s">
        <v>576</v>
      </c>
      <c r="D20" s="6" t="s">
        <v>577</v>
      </c>
      <c r="E20" s="6" t="s">
        <v>578</v>
      </c>
      <c r="F20" s="6" t="s">
        <v>489</v>
      </c>
      <c r="G20" s="6" t="s">
        <v>482</v>
      </c>
      <c r="H20" s="6" t="s">
        <v>526</v>
      </c>
    </row>
    <row r="21" customFormat="false" ht="23.85" hidden="false" customHeight="false" outlineLevel="0" collapsed="false">
      <c r="A21" s="6" t="s">
        <v>579</v>
      </c>
      <c r="B21" s="6" t="s">
        <v>580</v>
      </c>
      <c r="C21" s="6" t="s">
        <v>581</v>
      </c>
      <c r="D21" s="6" t="s">
        <v>582</v>
      </c>
      <c r="E21" s="6" t="s">
        <v>583</v>
      </c>
      <c r="F21" s="6" t="s">
        <v>489</v>
      </c>
      <c r="G21" s="6" t="s">
        <v>474</v>
      </c>
      <c r="H21" s="6" t="s">
        <v>584</v>
      </c>
    </row>
    <row r="22" customFormat="false" ht="23.85" hidden="false" customHeight="false" outlineLevel="0" collapsed="false">
      <c r="A22" s="6" t="s">
        <v>585</v>
      </c>
      <c r="B22" s="6" t="s">
        <v>586</v>
      </c>
      <c r="C22" s="6" t="s">
        <v>587</v>
      </c>
      <c r="D22" s="6" t="s">
        <v>588</v>
      </c>
      <c r="E22" s="6" t="s">
        <v>589</v>
      </c>
      <c r="F22" s="6" t="s">
        <v>590</v>
      </c>
      <c r="G22" s="6" t="s">
        <v>474</v>
      </c>
      <c r="H22" s="6" t="s">
        <v>591</v>
      </c>
    </row>
    <row r="23" customFormat="false" ht="23.85" hidden="false" customHeight="false" outlineLevel="0" collapsed="false">
      <c r="A23" s="6" t="s">
        <v>592</v>
      </c>
      <c r="B23" s="6" t="s">
        <v>593</v>
      </c>
      <c r="C23" s="6" t="s">
        <v>594</v>
      </c>
      <c r="D23" s="6" t="s">
        <v>595</v>
      </c>
      <c r="E23" s="6" t="s">
        <v>596</v>
      </c>
      <c r="F23" s="6" t="s">
        <v>489</v>
      </c>
      <c r="G23" s="6" t="s">
        <v>482</v>
      </c>
      <c r="H23" s="6" t="s">
        <v>526</v>
      </c>
    </row>
    <row r="24" customFormat="false" ht="35.05" hidden="false" customHeight="false" outlineLevel="0" collapsed="false">
      <c r="A24" s="6" t="s">
        <v>597</v>
      </c>
      <c r="B24" s="6" t="s">
        <v>598</v>
      </c>
      <c r="C24" s="6" t="s">
        <v>599</v>
      </c>
      <c r="D24" s="6" t="s">
        <v>600</v>
      </c>
      <c r="E24" s="6" t="s">
        <v>601</v>
      </c>
      <c r="F24" s="6" t="s">
        <v>191</v>
      </c>
      <c r="G24" s="6" t="s">
        <v>474</v>
      </c>
      <c r="H24" s="6" t="s">
        <v>602</v>
      </c>
    </row>
    <row r="25" customFormat="false" ht="35.05" hidden="false" customHeight="false" outlineLevel="0" collapsed="false">
      <c r="A25" s="7" t="s">
        <v>603</v>
      </c>
      <c r="B25" s="7" t="s">
        <v>604</v>
      </c>
      <c r="C25" s="7" t="s">
        <v>605</v>
      </c>
      <c r="D25" s="7" t="s">
        <v>606</v>
      </c>
      <c r="E25" s="7" t="s">
        <v>607</v>
      </c>
      <c r="F25" s="7" t="s">
        <v>191</v>
      </c>
      <c r="G25" s="7" t="s">
        <v>482</v>
      </c>
      <c r="H25" s="7" t="s">
        <v>539</v>
      </c>
    </row>
    <row r="26" customFormat="false" ht="46.25" hidden="false" customHeight="false" outlineLevel="0" collapsed="false">
      <c r="A26" s="7" t="s">
        <v>608</v>
      </c>
      <c r="B26" s="7" t="s">
        <v>609</v>
      </c>
      <c r="C26" s="7" t="s">
        <v>610</v>
      </c>
      <c r="D26" s="7" t="s">
        <v>611</v>
      </c>
      <c r="E26" s="7" t="s">
        <v>612</v>
      </c>
      <c r="F26" s="7" t="s">
        <v>502</v>
      </c>
      <c r="G26" s="7" t="s">
        <v>482</v>
      </c>
      <c r="H26" s="7" t="s">
        <v>539</v>
      </c>
    </row>
    <row r="27" customFormat="false" ht="23.85" hidden="false" customHeight="false" outlineLevel="0" collapsed="false">
      <c r="A27" s="7" t="s">
        <v>613</v>
      </c>
      <c r="B27" s="7" t="s">
        <v>614</v>
      </c>
      <c r="C27" s="7" t="s">
        <v>615</v>
      </c>
      <c r="D27" s="7" t="s">
        <v>616</v>
      </c>
      <c r="E27" s="7" t="s">
        <v>617</v>
      </c>
      <c r="F27" s="7" t="s">
        <v>590</v>
      </c>
      <c r="G27" s="7" t="s">
        <v>482</v>
      </c>
      <c r="H27" s="7" t="s">
        <v>539</v>
      </c>
    </row>
    <row r="28" customFormat="false" ht="35.05" hidden="false" customHeight="false" outlineLevel="0" collapsed="false">
      <c r="A28" s="7" t="s">
        <v>618</v>
      </c>
      <c r="B28" s="7" t="s">
        <v>619</v>
      </c>
      <c r="C28" s="7" t="s">
        <v>620</v>
      </c>
      <c r="D28" s="7" t="s">
        <v>621</v>
      </c>
      <c r="E28" s="7" t="s">
        <v>622</v>
      </c>
      <c r="F28" s="7" t="s">
        <v>191</v>
      </c>
      <c r="G28" s="7" t="s">
        <v>474</v>
      </c>
      <c r="H28" s="7" t="s">
        <v>623</v>
      </c>
    </row>
    <row r="29" customFormat="false" ht="35.05" hidden="false" customHeight="false" outlineLevel="0" collapsed="false">
      <c r="A29" s="7" t="s">
        <v>624</v>
      </c>
      <c r="B29" s="7" t="s">
        <v>625</v>
      </c>
      <c r="C29" s="7" t="s">
        <v>626</v>
      </c>
      <c r="D29" s="7" t="s">
        <v>627</v>
      </c>
      <c r="E29" s="7" t="s">
        <v>628</v>
      </c>
      <c r="F29" s="7" t="s">
        <v>629</v>
      </c>
      <c r="G29" s="7" t="s">
        <v>474</v>
      </c>
      <c r="H29" s="7" t="s">
        <v>623</v>
      </c>
    </row>
    <row r="30" customFormat="false" ht="35.05" hidden="false" customHeight="false" outlineLevel="0" collapsed="false">
      <c r="A30" s="7" t="s">
        <v>630</v>
      </c>
      <c r="B30" s="7" t="s">
        <v>631</v>
      </c>
      <c r="C30" s="7" t="s">
        <v>632</v>
      </c>
      <c r="D30" s="7" t="s">
        <v>633</v>
      </c>
      <c r="E30" s="7" t="s">
        <v>634</v>
      </c>
      <c r="F30" s="7" t="s">
        <v>635</v>
      </c>
      <c r="G30" s="7" t="s">
        <v>474</v>
      </c>
      <c r="H30" s="7" t="s">
        <v>623</v>
      </c>
    </row>
    <row r="31" customFormat="false" ht="23.85" hidden="false" customHeight="false" outlineLevel="0" collapsed="false">
      <c r="A31" s="7" t="s">
        <v>636</v>
      </c>
      <c r="B31" s="7" t="s">
        <v>637</v>
      </c>
      <c r="C31" s="7" t="s">
        <v>638</v>
      </c>
      <c r="D31" s="7" t="s">
        <v>639</v>
      </c>
      <c r="E31" s="7" t="s">
        <v>640</v>
      </c>
      <c r="F31" s="7" t="s">
        <v>191</v>
      </c>
      <c r="G31" s="7" t="s">
        <v>474</v>
      </c>
      <c r="H31" s="7" t="s">
        <v>623</v>
      </c>
    </row>
    <row r="32" customFormat="false" ht="23.85" hidden="false" customHeight="false" outlineLevel="0" collapsed="false">
      <c r="A32" s="7" t="s">
        <v>641</v>
      </c>
      <c r="B32" s="7" t="s">
        <v>642</v>
      </c>
      <c r="C32" s="7" t="s">
        <v>643</v>
      </c>
      <c r="D32" s="7" t="s">
        <v>644</v>
      </c>
      <c r="E32" s="7" t="s">
        <v>645</v>
      </c>
      <c r="F32" s="7" t="s">
        <v>191</v>
      </c>
      <c r="G32" s="7" t="s">
        <v>474</v>
      </c>
      <c r="H32" s="7" t="s">
        <v>623</v>
      </c>
    </row>
    <row r="33" customFormat="false" ht="35.05" hidden="false" customHeight="false" outlineLevel="0" collapsed="false">
      <c r="A33" s="7" t="s">
        <v>646</v>
      </c>
      <c r="B33" s="7" t="s">
        <v>647</v>
      </c>
      <c r="C33" s="7" t="s">
        <v>648</v>
      </c>
      <c r="D33" s="7" t="s">
        <v>649</v>
      </c>
      <c r="E33" s="7" t="s">
        <v>650</v>
      </c>
      <c r="F33" s="7" t="s">
        <v>489</v>
      </c>
      <c r="G33" s="7" t="s">
        <v>474</v>
      </c>
      <c r="H33" s="7" t="s">
        <v>623</v>
      </c>
    </row>
    <row r="34" customFormat="false" ht="23.85" hidden="false" customHeight="false" outlineLevel="0" collapsed="false">
      <c r="A34" s="7" t="s">
        <v>651</v>
      </c>
      <c r="B34" s="7" t="s">
        <v>652</v>
      </c>
      <c r="C34" s="7" t="s">
        <v>653</v>
      </c>
      <c r="D34" s="7" t="s">
        <v>654</v>
      </c>
      <c r="E34" s="7" t="s">
        <v>655</v>
      </c>
      <c r="F34" s="7" t="s">
        <v>656</v>
      </c>
      <c r="G34" s="7" t="s">
        <v>474</v>
      </c>
      <c r="H34" s="7" t="s">
        <v>623</v>
      </c>
    </row>
    <row r="35" customFormat="false" ht="35.05" hidden="false" customHeight="false" outlineLevel="0" collapsed="false">
      <c r="A35" s="7" t="s">
        <v>657</v>
      </c>
      <c r="B35" s="7" t="s">
        <v>367</v>
      </c>
      <c r="C35" s="7" t="s">
        <v>658</v>
      </c>
      <c r="D35" s="7" t="s">
        <v>659</v>
      </c>
      <c r="E35" s="7" t="s">
        <v>660</v>
      </c>
      <c r="F35" s="7" t="s">
        <v>191</v>
      </c>
      <c r="G35" s="7" t="s">
        <v>482</v>
      </c>
      <c r="H35" s="7" t="s">
        <v>623</v>
      </c>
    </row>
    <row r="36" customFormat="false" ht="23.85" hidden="false" customHeight="false" outlineLevel="0" collapsed="false">
      <c r="A36" s="6" t="s">
        <v>661</v>
      </c>
      <c r="B36" s="6" t="s">
        <v>662</v>
      </c>
      <c r="C36" s="6" t="s">
        <v>663</v>
      </c>
      <c r="D36" s="6" t="s">
        <v>664</v>
      </c>
      <c r="E36" s="6" t="s">
        <v>665</v>
      </c>
      <c r="F36" s="6" t="s">
        <v>489</v>
      </c>
      <c r="G36" s="6" t="s">
        <v>474</v>
      </c>
      <c r="H36" s="6" t="s">
        <v>666</v>
      </c>
    </row>
    <row r="37" customFormat="false" ht="35.05" hidden="false" customHeight="false" outlineLevel="0" collapsed="false">
      <c r="A37" s="6" t="s">
        <v>667</v>
      </c>
      <c r="B37" s="6" t="s">
        <v>668</v>
      </c>
      <c r="C37" s="6" t="s">
        <v>669</v>
      </c>
      <c r="D37" s="6" t="s">
        <v>670</v>
      </c>
      <c r="E37" s="6" t="s">
        <v>671</v>
      </c>
      <c r="F37" s="6" t="s">
        <v>191</v>
      </c>
      <c r="G37" s="6" t="s">
        <v>191</v>
      </c>
      <c r="H37" s="6" t="s">
        <v>672</v>
      </c>
    </row>
  </sheetData>
  <autoFilter ref="A1:H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50"/>
    <col collapsed="false" customWidth="true" hidden="false" outlineLevel="0" max="6" min="6" style="1" width="44"/>
  </cols>
  <sheetData>
    <row r="1" customFormat="false" ht="15" hidden="false" customHeight="false" outlineLevel="0" collapsed="false">
      <c r="A1" s="5" t="s">
        <v>673</v>
      </c>
      <c r="B1" s="5" t="s">
        <v>674</v>
      </c>
      <c r="C1" s="5" t="s">
        <v>675</v>
      </c>
      <c r="D1" s="5" t="s">
        <v>676</v>
      </c>
      <c r="E1" s="5" t="s">
        <v>677</v>
      </c>
      <c r="F1" s="5" t="s">
        <v>678</v>
      </c>
    </row>
    <row r="2" customFormat="false" ht="23.85" hidden="false" customHeight="false" outlineLevel="0" collapsed="false">
      <c r="A2" s="6" t="s">
        <v>481</v>
      </c>
      <c r="B2" s="6" t="s">
        <v>476</v>
      </c>
      <c r="C2" s="8" t="s">
        <v>679</v>
      </c>
      <c r="D2" s="6" t="s">
        <v>680</v>
      </c>
      <c r="E2" s="6" t="s">
        <v>681</v>
      </c>
      <c r="F2" s="6" t="s">
        <v>682</v>
      </c>
    </row>
    <row r="3" customFormat="false" ht="15" hidden="false" customHeight="false" outlineLevel="0" collapsed="false">
      <c r="A3" s="6" t="s">
        <v>465</v>
      </c>
      <c r="B3" s="6" t="s">
        <v>460</v>
      </c>
      <c r="C3" s="8" t="s">
        <v>683</v>
      </c>
      <c r="D3" s="6" t="s">
        <v>680</v>
      </c>
      <c r="E3" s="6" t="s">
        <v>684</v>
      </c>
      <c r="F3" s="6" t="s">
        <v>685</v>
      </c>
    </row>
    <row r="4" customFormat="false" ht="15" hidden="false" customHeight="false" outlineLevel="0" collapsed="false">
      <c r="A4" s="6" t="s">
        <v>635</v>
      </c>
      <c r="B4" s="6" t="s">
        <v>686</v>
      </c>
      <c r="C4" s="8" t="s">
        <v>687</v>
      </c>
      <c r="D4" s="6" t="s">
        <v>680</v>
      </c>
      <c r="E4" s="6" t="s">
        <v>688</v>
      </c>
      <c r="F4" s="6" t="s">
        <v>689</v>
      </c>
    </row>
    <row r="5" customFormat="false" ht="23.85" hidden="false" customHeight="false" outlineLevel="0" collapsed="false">
      <c r="A5" s="6" t="s">
        <v>590</v>
      </c>
      <c r="B5" s="6" t="s">
        <v>690</v>
      </c>
      <c r="C5" s="8" t="s">
        <v>691</v>
      </c>
      <c r="D5" s="6" t="s">
        <v>680</v>
      </c>
      <c r="E5" s="6" t="s">
        <v>692</v>
      </c>
      <c r="F5" s="6" t="s">
        <v>693</v>
      </c>
    </row>
    <row r="6" customFormat="false" ht="15" hidden="false" customHeight="false" outlineLevel="0" collapsed="false">
      <c r="A6" s="6" t="s">
        <v>694</v>
      </c>
      <c r="B6" s="6" t="s">
        <v>608</v>
      </c>
      <c r="C6" s="8" t="s">
        <v>683</v>
      </c>
      <c r="D6" s="6" t="s">
        <v>695</v>
      </c>
      <c r="E6" s="6" t="s">
        <v>696</v>
      </c>
      <c r="F6" s="6" t="s">
        <v>697</v>
      </c>
    </row>
    <row r="7" customFormat="false" ht="23.85" hidden="false" customHeight="false" outlineLevel="0" collapsed="false">
      <c r="A7" s="6" t="s">
        <v>698</v>
      </c>
      <c r="B7" s="6" t="s">
        <v>699</v>
      </c>
      <c r="C7" s="8" t="s">
        <v>679</v>
      </c>
      <c r="D7" s="6" t="s">
        <v>700</v>
      </c>
      <c r="E7" s="6" t="s">
        <v>701</v>
      </c>
      <c r="F7" s="6" t="s">
        <v>702</v>
      </c>
    </row>
    <row r="8" customFormat="false" ht="23.85" hidden="false" customHeight="false" outlineLevel="0" collapsed="false">
      <c r="A8" s="6" t="s">
        <v>489</v>
      </c>
      <c r="B8" s="6" t="s">
        <v>703</v>
      </c>
      <c r="C8" s="8" t="s">
        <v>704</v>
      </c>
      <c r="D8" s="6" t="s">
        <v>705</v>
      </c>
      <c r="E8" s="6" t="s">
        <v>706</v>
      </c>
      <c r="F8" s="6" t="s">
        <v>707</v>
      </c>
    </row>
    <row r="9" customFormat="false" ht="23.85" hidden="false" customHeight="false" outlineLevel="0" collapsed="false">
      <c r="A9" s="6" t="s">
        <v>473</v>
      </c>
      <c r="B9" s="6" t="s">
        <v>468</v>
      </c>
      <c r="C9" s="8" t="s">
        <v>708</v>
      </c>
      <c r="D9" s="6" t="s">
        <v>705</v>
      </c>
      <c r="E9" s="6" t="s">
        <v>709</v>
      </c>
      <c r="F9" s="6" t="s">
        <v>710</v>
      </c>
    </row>
    <row r="10" customFormat="false" ht="15" hidden="false" customHeight="false" outlineLevel="0" collapsed="false">
      <c r="A10" s="6" t="s">
        <v>551</v>
      </c>
      <c r="B10" s="6" t="s">
        <v>546</v>
      </c>
      <c r="C10" s="8" t="s">
        <v>708</v>
      </c>
      <c r="D10" s="6" t="s">
        <v>705</v>
      </c>
      <c r="E10" s="6" t="s">
        <v>711</v>
      </c>
      <c r="F10" s="6" t="s">
        <v>710</v>
      </c>
    </row>
    <row r="11" customFormat="false" ht="15" hidden="false" customHeight="false" outlineLevel="0" collapsed="false">
      <c r="A11" s="6" t="s">
        <v>525</v>
      </c>
      <c r="B11" s="6" t="s">
        <v>520</v>
      </c>
      <c r="C11" s="8" t="s">
        <v>683</v>
      </c>
      <c r="D11" s="6" t="s">
        <v>705</v>
      </c>
      <c r="E11" s="6" t="s">
        <v>712</v>
      </c>
      <c r="F11" s="6" t="s">
        <v>710</v>
      </c>
    </row>
    <row r="12" customFormat="false" ht="15" hidden="false" customHeight="false" outlineLevel="0" collapsed="false">
      <c r="A12" s="6" t="s">
        <v>713</v>
      </c>
      <c r="B12" s="6" t="s">
        <v>533</v>
      </c>
      <c r="C12" s="8" t="s">
        <v>714</v>
      </c>
      <c r="D12" s="6" t="s">
        <v>715</v>
      </c>
      <c r="E12" s="6" t="s">
        <v>716</v>
      </c>
      <c r="F12" s="6" t="s">
        <v>717</v>
      </c>
    </row>
    <row r="13" customFormat="false" ht="23.85" hidden="false" customHeight="false" outlineLevel="0" collapsed="false">
      <c r="A13" s="6" t="s">
        <v>656</v>
      </c>
      <c r="B13" s="6" t="s">
        <v>651</v>
      </c>
      <c r="C13" s="8" t="s">
        <v>718</v>
      </c>
      <c r="D13" s="6" t="s">
        <v>719</v>
      </c>
      <c r="E13" s="6" t="s">
        <v>720</v>
      </c>
      <c r="F13" s="6" t="s">
        <v>721</v>
      </c>
    </row>
  </sheetData>
  <autoFilter ref="A1:F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4" min="3" style="1" width="12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11" min="11" style="1" width="34"/>
  </cols>
  <sheetData>
    <row r="1" customFormat="false" ht="30" hidden="false" customHeight="true" outlineLevel="0" collapsed="false">
      <c r="A1" s="9" t="s">
        <v>722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23.85" hidden="false" customHeight="false" outlineLevel="0" collapsed="false">
      <c r="A2" s="5" t="s">
        <v>723</v>
      </c>
      <c r="B2" s="5" t="s">
        <v>724</v>
      </c>
      <c r="C2" s="5" t="s">
        <v>725</v>
      </c>
      <c r="D2" s="5" t="s">
        <v>726</v>
      </c>
      <c r="E2" s="5" t="s">
        <v>727</v>
      </c>
      <c r="F2" s="5" t="s">
        <v>728</v>
      </c>
      <c r="G2" s="5" t="s">
        <v>729</v>
      </c>
      <c r="H2" s="5" t="s">
        <v>730</v>
      </c>
      <c r="I2" s="5" t="s">
        <v>731</v>
      </c>
      <c r="J2" s="5" t="s">
        <v>732</v>
      </c>
      <c r="K2" s="5" t="s">
        <v>733</v>
      </c>
    </row>
    <row r="3" customFormat="false" ht="15" hidden="false" customHeight="false" outlineLevel="0" collapsed="false">
      <c r="A3" s="10" t="s">
        <v>734</v>
      </c>
      <c r="B3" s="10" t="s">
        <v>735</v>
      </c>
      <c r="C3" s="8" t="n">
        <v>40</v>
      </c>
      <c r="D3" s="8" t="n">
        <v>25</v>
      </c>
      <c r="E3" s="8" t="n">
        <v>15</v>
      </c>
      <c r="F3" s="8" t="n">
        <v>120</v>
      </c>
      <c r="G3" s="10" t="n">
        <f aca="false">IF(COUNT(C3:F3)=0,"",SUM(C3:F3))</f>
        <v>200</v>
      </c>
      <c r="H3" s="11" t="n">
        <f aca="false">IFERROR((C3+F3)/G3,"")</f>
        <v>0.8</v>
      </c>
      <c r="I3" s="11" t="n">
        <f aca="false">IFERROR(C3/(C3+E3),"")</f>
        <v>0.727272727272727</v>
      </c>
      <c r="J3" s="11" t="n">
        <f aca="false">IFERROR(F3/(F3+D3),"")</f>
        <v>0.827586206896552</v>
      </c>
      <c r="K3" s="10" t="s">
        <v>736</v>
      </c>
    </row>
    <row r="4" customFormat="false" ht="15" hidden="false" customHeight="false" outlineLevel="0" collapsed="false">
      <c r="A4" s="12" t="s">
        <v>460</v>
      </c>
      <c r="B4" s="12" t="s">
        <v>462</v>
      </c>
      <c r="C4" s="8"/>
      <c r="D4" s="8"/>
      <c r="E4" s="8"/>
      <c r="F4" s="8"/>
      <c r="G4" s="12" t="str">
        <f aca="false">IF(COUNT(C4:F4)=0,"",SUM(C4:F4))</f>
        <v/>
      </c>
      <c r="H4" s="13" t="str">
        <f aca="false">IFERROR((C4+F4)/G4,"")</f>
        <v/>
      </c>
      <c r="I4" s="13" t="str">
        <f aca="false">IFERROR(C4/(C4+E4),"")</f>
        <v/>
      </c>
      <c r="J4" s="13" t="str">
        <f aca="false">IFERROR(F4/(F4+D4),"")</f>
        <v/>
      </c>
      <c r="K4" s="12"/>
    </row>
    <row r="5" customFormat="false" ht="15" hidden="false" customHeight="false" outlineLevel="0" collapsed="false">
      <c r="A5" s="12" t="s">
        <v>468</v>
      </c>
      <c r="B5" s="12" t="s">
        <v>470</v>
      </c>
      <c r="C5" s="8"/>
      <c r="D5" s="8"/>
      <c r="E5" s="8"/>
      <c r="F5" s="8"/>
      <c r="G5" s="12" t="str">
        <f aca="false">IF(COUNT(C5:F5)=0,"",SUM(C5:F5))</f>
        <v/>
      </c>
      <c r="H5" s="13" t="str">
        <f aca="false">IFERROR((C5+F5)/G5,"")</f>
        <v/>
      </c>
      <c r="I5" s="13" t="str">
        <f aca="false">IFERROR(C5/(C5+E5),"")</f>
        <v/>
      </c>
      <c r="J5" s="13" t="str">
        <f aca="false">IFERROR(F5/(F5+D5),"")</f>
        <v/>
      </c>
      <c r="K5" s="12"/>
    </row>
    <row r="6" customFormat="false" ht="15" hidden="false" customHeight="false" outlineLevel="0" collapsed="false">
      <c r="A6" s="12" t="s">
        <v>476</v>
      </c>
      <c r="B6" s="12" t="s">
        <v>478</v>
      </c>
      <c r="C6" s="8"/>
      <c r="D6" s="8"/>
      <c r="E6" s="8"/>
      <c r="F6" s="8"/>
      <c r="G6" s="12" t="str">
        <f aca="false">IF(COUNT(C6:F6)=0,"",SUM(C6:F6))</f>
        <v/>
      </c>
      <c r="H6" s="13" t="str">
        <f aca="false">IFERROR((C6+F6)/G6,"")</f>
        <v/>
      </c>
      <c r="I6" s="13" t="str">
        <f aca="false">IFERROR(C6/(C6+E6),"")</f>
        <v/>
      </c>
      <c r="J6" s="13" t="str">
        <f aca="false">IFERROR(F6/(F6+D6),"")</f>
        <v/>
      </c>
      <c r="K6" s="12"/>
    </row>
    <row r="7" customFormat="false" ht="15" hidden="false" customHeight="false" outlineLevel="0" collapsed="false">
      <c r="A7" s="12" t="s">
        <v>484</v>
      </c>
      <c r="B7" s="12" t="s">
        <v>486</v>
      </c>
      <c r="C7" s="8"/>
      <c r="D7" s="8"/>
      <c r="E7" s="8"/>
      <c r="F7" s="8"/>
      <c r="G7" s="12" t="str">
        <f aca="false">IF(COUNT(C7:F7)=0,"",SUM(C7:F7))</f>
        <v/>
      </c>
      <c r="H7" s="13" t="str">
        <f aca="false">IFERROR((C7+F7)/G7,"")</f>
        <v/>
      </c>
      <c r="I7" s="13" t="str">
        <f aca="false">IFERROR(C7/(C7+E7),"")</f>
        <v/>
      </c>
      <c r="J7" s="13" t="str">
        <f aca="false">IFERROR(F7/(F7+D7),"")</f>
        <v/>
      </c>
      <c r="K7" s="12"/>
    </row>
    <row r="8" customFormat="false" ht="23.85" hidden="false" customHeight="false" outlineLevel="0" collapsed="false">
      <c r="A8" s="12" t="s">
        <v>491</v>
      </c>
      <c r="B8" s="12" t="s">
        <v>493</v>
      </c>
      <c r="C8" s="8"/>
      <c r="D8" s="8"/>
      <c r="E8" s="8"/>
      <c r="F8" s="8"/>
      <c r="G8" s="12" t="str">
        <f aca="false">IF(COUNT(C8:F8)=0,"",SUM(C8:F8))</f>
        <v/>
      </c>
      <c r="H8" s="13" t="str">
        <f aca="false">IFERROR((C8+F8)/G8,"")</f>
        <v/>
      </c>
      <c r="I8" s="13" t="str">
        <f aca="false">IFERROR(C8/(C8+E8),"")</f>
        <v/>
      </c>
      <c r="J8" s="13" t="str">
        <f aca="false">IFERROR(F8/(F8+D8),"")</f>
        <v/>
      </c>
      <c r="K8" s="12"/>
    </row>
    <row r="9" customFormat="false" ht="15" hidden="false" customHeight="false" outlineLevel="0" collapsed="false">
      <c r="A9" s="12" t="s">
        <v>497</v>
      </c>
      <c r="B9" s="12" t="s">
        <v>499</v>
      </c>
      <c r="C9" s="8"/>
      <c r="D9" s="8"/>
      <c r="E9" s="8"/>
      <c r="F9" s="8"/>
      <c r="G9" s="12" t="str">
        <f aca="false">IF(COUNT(C9:F9)=0,"",SUM(C9:F9))</f>
        <v/>
      </c>
      <c r="H9" s="13" t="str">
        <f aca="false">IFERROR((C9+F9)/G9,"")</f>
        <v/>
      </c>
      <c r="I9" s="13" t="str">
        <f aca="false">IFERROR(C9/(C9+E9),"")</f>
        <v/>
      </c>
      <c r="J9" s="13" t="str">
        <f aca="false">IFERROR(F9/(F9+D9),"")</f>
        <v/>
      </c>
      <c r="K9" s="12"/>
    </row>
    <row r="10" customFormat="false" ht="15" hidden="false" customHeight="false" outlineLevel="0" collapsed="false">
      <c r="A10" s="12" t="s">
        <v>504</v>
      </c>
      <c r="B10" s="12" t="s">
        <v>440</v>
      </c>
      <c r="C10" s="8"/>
      <c r="D10" s="8"/>
      <c r="E10" s="8"/>
      <c r="F10" s="8"/>
      <c r="G10" s="12" t="str">
        <f aca="false">IF(COUNT(C10:F10)=0,"",SUM(C10:F10))</f>
        <v/>
      </c>
      <c r="H10" s="13" t="str">
        <f aca="false">IFERROR((C10+F10)/G10,"")</f>
        <v/>
      </c>
      <c r="I10" s="13" t="str">
        <f aca="false">IFERROR(C10/(C10+E10),"")</f>
        <v/>
      </c>
      <c r="J10" s="13" t="str">
        <f aca="false">IFERROR(F10/(F10+D10),"")</f>
        <v/>
      </c>
      <c r="K10" s="12"/>
    </row>
    <row r="11" customFormat="false" ht="15" hidden="false" customHeight="false" outlineLevel="0" collapsed="false">
      <c r="A11" s="12" t="s">
        <v>509</v>
      </c>
      <c r="B11" s="12" t="s">
        <v>511</v>
      </c>
      <c r="C11" s="8"/>
      <c r="D11" s="8"/>
      <c r="E11" s="8"/>
      <c r="F11" s="8"/>
      <c r="G11" s="12" t="str">
        <f aca="false">IF(COUNT(C11:F11)=0,"",SUM(C11:F11))</f>
        <v/>
      </c>
      <c r="H11" s="13" t="str">
        <f aca="false">IFERROR((C11+F11)/G11,"")</f>
        <v/>
      </c>
      <c r="I11" s="13" t="str">
        <f aca="false">IFERROR(C11/(C11+E11),"")</f>
        <v/>
      </c>
      <c r="J11" s="13" t="str">
        <f aca="false">IFERROR(F11/(F11+D11),"")</f>
        <v/>
      </c>
      <c r="K11" s="12"/>
    </row>
    <row r="12" customFormat="false" ht="15" hidden="false" customHeight="false" outlineLevel="0" collapsed="false">
      <c r="A12" s="12" t="s">
        <v>514</v>
      </c>
      <c r="B12" s="12" t="s">
        <v>516</v>
      </c>
      <c r="C12" s="8"/>
      <c r="D12" s="8"/>
      <c r="E12" s="8"/>
      <c r="F12" s="8"/>
      <c r="G12" s="12" t="str">
        <f aca="false">IF(COUNT(C12:F12)=0,"",SUM(C12:F12))</f>
        <v/>
      </c>
      <c r="H12" s="13" t="str">
        <f aca="false">IFERROR((C12+F12)/G12,"")</f>
        <v/>
      </c>
      <c r="I12" s="13" t="str">
        <f aca="false">IFERROR(C12/(C12+E12),"")</f>
        <v/>
      </c>
      <c r="J12" s="13" t="str">
        <f aca="false">IFERROR(F12/(F12+D12),"")</f>
        <v/>
      </c>
      <c r="K12" s="12"/>
    </row>
    <row r="13" customFormat="false" ht="15" hidden="false" customHeight="false" outlineLevel="0" collapsed="false">
      <c r="A13" s="12" t="s">
        <v>520</v>
      </c>
      <c r="B13" s="12" t="s">
        <v>522</v>
      </c>
      <c r="C13" s="8"/>
      <c r="D13" s="8"/>
      <c r="E13" s="8"/>
      <c r="F13" s="8"/>
      <c r="G13" s="12" t="str">
        <f aca="false">IF(COUNT(C13:F13)=0,"",SUM(C13:F13))</f>
        <v/>
      </c>
      <c r="H13" s="13" t="str">
        <f aca="false">IFERROR((C13+F13)/G13,"")</f>
        <v/>
      </c>
      <c r="I13" s="13" t="str">
        <f aca="false">IFERROR(C13/(C13+E13),"")</f>
        <v/>
      </c>
      <c r="J13" s="13" t="str">
        <f aca="false">IFERROR(F13/(F13+D13),"")</f>
        <v/>
      </c>
      <c r="K13" s="12"/>
    </row>
    <row r="14" customFormat="false" ht="15" hidden="false" customHeight="false" outlineLevel="0" collapsed="false">
      <c r="A14" s="12" t="s">
        <v>527</v>
      </c>
      <c r="B14" s="12" t="s">
        <v>529</v>
      </c>
      <c r="C14" s="8"/>
      <c r="D14" s="8"/>
      <c r="E14" s="8"/>
      <c r="F14" s="8"/>
      <c r="G14" s="12" t="str">
        <f aca="false">IF(COUNT(C14:F14)=0,"",SUM(C14:F14))</f>
        <v/>
      </c>
      <c r="H14" s="13" t="str">
        <f aca="false">IFERROR((C14+F14)/G14,"")</f>
        <v/>
      </c>
      <c r="I14" s="13" t="str">
        <f aca="false">IFERROR(C14/(C14+E14),"")</f>
        <v/>
      </c>
      <c r="J14" s="13" t="str">
        <f aca="false">IFERROR(F14/(F14+D14),"")</f>
        <v/>
      </c>
      <c r="K14" s="12"/>
    </row>
    <row r="15" customFormat="false" ht="15" hidden="false" customHeight="false" outlineLevel="0" collapsed="false">
      <c r="A15" s="12" t="s">
        <v>533</v>
      </c>
      <c r="B15" s="12" t="s">
        <v>535</v>
      </c>
      <c r="C15" s="8"/>
      <c r="D15" s="8"/>
      <c r="E15" s="8"/>
      <c r="F15" s="8"/>
      <c r="G15" s="12" t="str">
        <f aca="false">IF(COUNT(C15:F15)=0,"",SUM(C15:F15))</f>
        <v/>
      </c>
      <c r="H15" s="13" t="str">
        <f aca="false">IFERROR((C15+F15)/G15,"")</f>
        <v/>
      </c>
      <c r="I15" s="13" t="str">
        <f aca="false">IFERROR(C15/(C15+E15),"")</f>
        <v/>
      </c>
      <c r="J15" s="13" t="str">
        <f aca="false">IFERROR(F15/(F15+D15),"")</f>
        <v/>
      </c>
      <c r="K15" s="12"/>
    </row>
    <row r="16" customFormat="false" ht="15" hidden="false" customHeight="false" outlineLevel="0" collapsed="false">
      <c r="A16" s="12" t="s">
        <v>540</v>
      </c>
      <c r="B16" s="12" t="s">
        <v>542</v>
      </c>
      <c r="C16" s="8"/>
      <c r="D16" s="8"/>
      <c r="E16" s="8"/>
      <c r="F16" s="8"/>
      <c r="G16" s="12" t="str">
        <f aca="false">IF(COUNT(C16:F16)=0,"",SUM(C16:F16))</f>
        <v/>
      </c>
      <c r="H16" s="13" t="str">
        <f aca="false">IFERROR((C16+F16)/G16,"")</f>
        <v/>
      </c>
      <c r="I16" s="13" t="str">
        <f aca="false">IFERROR(C16/(C16+E16),"")</f>
        <v/>
      </c>
      <c r="J16" s="13" t="str">
        <f aca="false">IFERROR(F16/(F16+D16),"")</f>
        <v/>
      </c>
      <c r="K16" s="12"/>
    </row>
    <row r="17" customFormat="false" ht="15" hidden="false" customHeight="false" outlineLevel="0" collapsed="false">
      <c r="A17" s="12" t="s">
        <v>546</v>
      </c>
      <c r="B17" s="12" t="s">
        <v>548</v>
      </c>
      <c r="C17" s="8"/>
      <c r="D17" s="8"/>
      <c r="E17" s="8"/>
      <c r="F17" s="8"/>
      <c r="G17" s="12" t="str">
        <f aca="false">IF(COUNT(C17:F17)=0,"",SUM(C17:F17))</f>
        <v/>
      </c>
      <c r="H17" s="13" t="str">
        <f aca="false">IFERROR((C17+F17)/G17,"")</f>
        <v/>
      </c>
      <c r="I17" s="13" t="str">
        <f aca="false">IFERROR(C17/(C17+E17),"")</f>
        <v/>
      </c>
      <c r="J17" s="13" t="str">
        <f aca="false">IFERROR(F17/(F17+D17),"")</f>
        <v/>
      </c>
      <c r="K17" s="12"/>
    </row>
    <row r="18" customFormat="false" ht="15" hidden="false" customHeight="false" outlineLevel="0" collapsed="false">
      <c r="A18" s="12" t="s">
        <v>553</v>
      </c>
      <c r="B18" s="12" t="s">
        <v>555</v>
      </c>
      <c r="C18" s="8"/>
      <c r="D18" s="8"/>
      <c r="E18" s="8"/>
      <c r="F18" s="8"/>
      <c r="G18" s="12" t="str">
        <f aca="false">IF(COUNT(C18:F18)=0,"",SUM(C18:F18))</f>
        <v/>
      </c>
      <c r="H18" s="13" t="str">
        <f aca="false">IFERROR((C18+F18)/G18,"")</f>
        <v/>
      </c>
      <c r="I18" s="13" t="str">
        <f aca="false">IFERROR(C18/(C18+E18),"")</f>
        <v/>
      </c>
      <c r="J18" s="13" t="str">
        <f aca="false">IFERROR(F18/(F18+D18),"")</f>
        <v/>
      </c>
      <c r="K18" s="12"/>
    </row>
    <row r="19" customFormat="false" ht="15" hidden="false" customHeight="false" outlineLevel="0" collapsed="false">
      <c r="A19" s="12" t="s">
        <v>559</v>
      </c>
      <c r="B19" s="12" t="s">
        <v>561</v>
      </c>
      <c r="C19" s="8"/>
      <c r="D19" s="8"/>
      <c r="E19" s="8"/>
      <c r="F19" s="8"/>
      <c r="G19" s="12" t="str">
        <f aca="false">IF(COUNT(C19:F19)=0,"",SUM(C19:F19))</f>
        <v/>
      </c>
      <c r="H19" s="13" t="str">
        <f aca="false">IFERROR((C19+F19)/G19,"")</f>
        <v/>
      </c>
      <c r="I19" s="13" t="str">
        <f aca="false">IFERROR(C19/(C19+E19),"")</f>
        <v/>
      </c>
      <c r="J19" s="13" t="str">
        <f aca="false">IFERROR(F19/(F19+D19),"")</f>
        <v/>
      </c>
      <c r="K19" s="12"/>
    </row>
    <row r="20" customFormat="false" ht="15" hidden="false" customHeight="false" outlineLevel="0" collapsed="false">
      <c r="A20" s="12" t="s">
        <v>564</v>
      </c>
      <c r="B20" s="12" t="s">
        <v>566</v>
      </c>
      <c r="C20" s="8"/>
      <c r="D20" s="8"/>
      <c r="E20" s="8"/>
      <c r="F20" s="8"/>
      <c r="G20" s="12" t="str">
        <f aca="false">IF(COUNT(C20:F20)=0,"",SUM(C20:F20))</f>
        <v/>
      </c>
      <c r="H20" s="13" t="str">
        <f aca="false">IFERROR((C20+F20)/G20,"")</f>
        <v/>
      </c>
      <c r="I20" s="13" t="str">
        <f aca="false">IFERROR(C20/(C20+E20),"")</f>
        <v/>
      </c>
      <c r="J20" s="13" t="str">
        <f aca="false">IFERROR(F20/(F20+D20),"")</f>
        <v/>
      </c>
      <c r="K20" s="12"/>
    </row>
    <row r="21" customFormat="false" ht="15" hidden="false" customHeight="false" outlineLevel="0" collapsed="false">
      <c r="A21" s="12" t="s">
        <v>569</v>
      </c>
      <c r="B21" s="12" t="s">
        <v>571</v>
      </c>
      <c r="C21" s="8"/>
      <c r="D21" s="8"/>
      <c r="E21" s="8"/>
      <c r="F21" s="8"/>
      <c r="G21" s="12" t="str">
        <f aca="false">IF(COUNT(C21:F21)=0,"",SUM(C21:F21))</f>
        <v/>
      </c>
      <c r="H21" s="13" t="str">
        <f aca="false">IFERROR((C21+F21)/G21,"")</f>
        <v/>
      </c>
      <c r="I21" s="13" t="str">
        <f aca="false">IFERROR(C21/(C21+E21),"")</f>
        <v/>
      </c>
      <c r="J21" s="13" t="str">
        <f aca="false">IFERROR(F21/(F21+D21),"")</f>
        <v/>
      </c>
      <c r="K21" s="12"/>
    </row>
    <row r="22" customFormat="false" ht="15" hidden="false" customHeight="false" outlineLevel="0" collapsed="false">
      <c r="A22" s="12" t="s">
        <v>574</v>
      </c>
      <c r="B22" s="12" t="s">
        <v>576</v>
      </c>
      <c r="C22" s="8"/>
      <c r="D22" s="8"/>
      <c r="E22" s="8"/>
      <c r="F22" s="8"/>
      <c r="G22" s="12" t="str">
        <f aca="false">IF(COUNT(C22:F22)=0,"",SUM(C22:F22))</f>
        <v/>
      </c>
      <c r="H22" s="13" t="str">
        <f aca="false">IFERROR((C22+F22)/G22,"")</f>
        <v/>
      </c>
      <c r="I22" s="13" t="str">
        <f aca="false">IFERROR(C22/(C22+E22),"")</f>
        <v/>
      </c>
      <c r="J22" s="13" t="str">
        <f aca="false">IFERROR(F22/(F22+D22),"")</f>
        <v/>
      </c>
      <c r="K22" s="12"/>
    </row>
    <row r="23" customFormat="false" ht="15" hidden="false" customHeight="false" outlineLevel="0" collapsed="false">
      <c r="A23" s="12" t="s">
        <v>579</v>
      </c>
      <c r="B23" s="12" t="s">
        <v>581</v>
      </c>
      <c r="C23" s="8"/>
      <c r="D23" s="8"/>
      <c r="E23" s="8"/>
      <c r="F23" s="8"/>
      <c r="G23" s="12" t="str">
        <f aca="false">IF(COUNT(C23:F23)=0,"",SUM(C23:F23))</f>
        <v/>
      </c>
      <c r="H23" s="13" t="str">
        <f aca="false">IFERROR((C23+F23)/G23,"")</f>
        <v/>
      </c>
      <c r="I23" s="13" t="str">
        <f aca="false">IFERROR(C23/(C23+E23),"")</f>
        <v/>
      </c>
      <c r="J23" s="13" t="str">
        <f aca="false">IFERROR(F23/(F23+D23),"")</f>
        <v/>
      </c>
      <c r="K23" s="12"/>
    </row>
    <row r="24" customFormat="false" ht="23.85" hidden="false" customHeight="false" outlineLevel="0" collapsed="false">
      <c r="A24" s="12" t="s">
        <v>585</v>
      </c>
      <c r="B24" s="12" t="s">
        <v>587</v>
      </c>
      <c r="C24" s="8"/>
      <c r="D24" s="8"/>
      <c r="E24" s="8"/>
      <c r="F24" s="8"/>
      <c r="G24" s="12" t="str">
        <f aca="false">IF(COUNT(C24:F24)=0,"",SUM(C24:F24))</f>
        <v/>
      </c>
      <c r="H24" s="13" t="str">
        <f aca="false">IFERROR((C24+F24)/G24,"")</f>
        <v/>
      </c>
      <c r="I24" s="13" t="str">
        <f aca="false">IFERROR(C24/(C24+E24),"")</f>
        <v/>
      </c>
      <c r="J24" s="13" t="str">
        <f aca="false">IFERROR(F24/(F24+D24),"")</f>
        <v/>
      </c>
      <c r="K24" s="12"/>
    </row>
    <row r="25" customFormat="false" ht="15" hidden="false" customHeight="false" outlineLevel="0" collapsed="false">
      <c r="A25" s="12" t="s">
        <v>592</v>
      </c>
      <c r="B25" s="12" t="s">
        <v>594</v>
      </c>
      <c r="C25" s="8"/>
      <c r="D25" s="8"/>
      <c r="E25" s="8"/>
      <c r="F25" s="8"/>
      <c r="G25" s="12" t="str">
        <f aca="false">IF(COUNT(C25:F25)=0,"",SUM(C25:F25))</f>
        <v/>
      </c>
      <c r="H25" s="13" t="str">
        <f aca="false">IFERROR((C25+F25)/G25,"")</f>
        <v/>
      </c>
      <c r="I25" s="13" t="str">
        <f aca="false">IFERROR(C25/(C25+E25),"")</f>
        <v/>
      </c>
      <c r="J25" s="13" t="str">
        <f aca="false">IFERROR(F25/(F25+D25),"")</f>
        <v/>
      </c>
      <c r="K25" s="12"/>
    </row>
    <row r="26" customFormat="false" ht="15" hidden="false" customHeight="false" outlineLevel="0" collapsed="false">
      <c r="A26" s="12" t="s">
        <v>597</v>
      </c>
      <c r="B26" s="12" t="s">
        <v>599</v>
      </c>
      <c r="C26" s="8"/>
      <c r="D26" s="8"/>
      <c r="E26" s="8"/>
      <c r="F26" s="8"/>
      <c r="G26" s="12" t="str">
        <f aca="false">IF(COUNT(C26:F26)=0,"",SUM(C26:F26))</f>
        <v/>
      </c>
      <c r="H26" s="13" t="str">
        <f aca="false">IFERROR((C26+F26)/G26,"")</f>
        <v/>
      </c>
      <c r="I26" s="13" t="str">
        <f aca="false">IFERROR(C26/(C26+E26),"")</f>
        <v/>
      </c>
      <c r="J26" s="13" t="str">
        <f aca="false">IFERROR(F26/(F26+D26),"")</f>
        <v/>
      </c>
      <c r="K26" s="12"/>
    </row>
    <row r="27" customFormat="false" ht="15" hidden="false" customHeight="false" outlineLevel="0" collapsed="false">
      <c r="A27" s="12" t="s">
        <v>603</v>
      </c>
      <c r="B27" s="12" t="s">
        <v>605</v>
      </c>
      <c r="C27" s="8"/>
      <c r="D27" s="8"/>
      <c r="E27" s="8"/>
      <c r="F27" s="8"/>
      <c r="G27" s="12" t="str">
        <f aca="false">IF(COUNT(C27:F27)=0,"",SUM(C27:F27))</f>
        <v/>
      </c>
      <c r="H27" s="13" t="str">
        <f aca="false">IFERROR((C27+F27)/G27,"")</f>
        <v/>
      </c>
      <c r="I27" s="13" t="str">
        <f aca="false">IFERROR(C27/(C27+E27),"")</f>
        <v/>
      </c>
      <c r="J27" s="13" t="str">
        <f aca="false">IFERROR(F27/(F27+D27),"")</f>
        <v/>
      </c>
      <c r="K27" s="12"/>
    </row>
    <row r="28" customFormat="false" ht="15" hidden="false" customHeight="false" outlineLevel="0" collapsed="false">
      <c r="A28" s="12" t="s">
        <v>608</v>
      </c>
      <c r="B28" s="12" t="s">
        <v>610</v>
      </c>
      <c r="C28" s="8"/>
      <c r="D28" s="8"/>
      <c r="E28" s="8"/>
      <c r="F28" s="8"/>
      <c r="G28" s="12" t="str">
        <f aca="false">IF(COUNT(C28:F28)=0,"",SUM(C28:F28))</f>
        <v/>
      </c>
      <c r="H28" s="13" t="str">
        <f aca="false">IFERROR((C28+F28)/G28,"")</f>
        <v/>
      </c>
      <c r="I28" s="13" t="str">
        <f aca="false">IFERROR(C28/(C28+E28),"")</f>
        <v/>
      </c>
      <c r="J28" s="13" t="str">
        <f aca="false">IFERROR(F28/(F28+D28),"")</f>
        <v/>
      </c>
      <c r="K28" s="12"/>
    </row>
    <row r="29" customFormat="false" ht="15" hidden="false" customHeight="false" outlineLevel="0" collapsed="false">
      <c r="A29" s="12" t="s">
        <v>613</v>
      </c>
      <c r="B29" s="12" t="s">
        <v>615</v>
      </c>
      <c r="C29" s="8"/>
      <c r="D29" s="8"/>
      <c r="E29" s="8"/>
      <c r="F29" s="8"/>
      <c r="G29" s="12" t="str">
        <f aca="false">IF(COUNT(C29:F29)=0,"",SUM(C29:F29))</f>
        <v/>
      </c>
      <c r="H29" s="13" t="str">
        <f aca="false">IFERROR((C29+F29)/G29,"")</f>
        <v/>
      </c>
      <c r="I29" s="13" t="str">
        <f aca="false">IFERROR(C29/(C29+E29),"")</f>
        <v/>
      </c>
      <c r="J29" s="13" t="str">
        <f aca="false">IFERROR(F29/(F29+D29),"")</f>
        <v/>
      </c>
      <c r="K29" s="12"/>
    </row>
    <row r="30" customFormat="false" ht="15" hidden="false" customHeight="false" outlineLevel="0" collapsed="false">
      <c r="A30" s="12" t="s">
        <v>618</v>
      </c>
      <c r="B30" s="12" t="s">
        <v>620</v>
      </c>
      <c r="C30" s="8"/>
      <c r="D30" s="8"/>
      <c r="E30" s="8"/>
      <c r="F30" s="8"/>
      <c r="G30" s="12" t="str">
        <f aca="false">IF(COUNT(C30:F30)=0,"",SUM(C30:F30))</f>
        <v/>
      </c>
      <c r="H30" s="13" t="str">
        <f aca="false">IFERROR((C30+F30)/G30,"")</f>
        <v/>
      </c>
      <c r="I30" s="13" t="str">
        <f aca="false">IFERROR(C30/(C30+E30),"")</f>
        <v/>
      </c>
      <c r="J30" s="13" t="str">
        <f aca="false">IFERROR(F30/(F30+D30),"")</f>
        <v/>
      </c>
      <c r="K30" s="12"/>
    </row>
    <row r="31" customFormat="false" ht="15" hidden="false" customHeight="false" outlineLevel="0" collapsed="false">
      <c r="A31" s="12" t="s">
        <v>624</v>
      </c>
      <c r="B31" s="12" t="s">
        <v>626</v>
      </c>
      <c r="C31" s="8"/>
      <c r="D31" s="8"/>
      <c r="E31" s="8"/>
      <c r="F31" s="8"/>
      <c r="G31" s="12" t="str">
        <f aca="false">IF(COUNT(C31:F31)=0,"",SUM(C31:F31))</f>
        <v/>
      </c>
      <c r="H31" s="13" t="str">
        <f aca="false">IFERROR((C31+F31)/G31,"")</f>
        <v/>
      </c>
      <c r="I31" s="13" t="str">
        <f aca="false">IFERROR(C31/(C31+E31),"")</f>
        <v/>
      </c>
      <c r="J31" s="13" t="str">
        <f aca="false">IFERROR(F31/(F31+D31),"")</f>
        <v/>
      </c>
      <c r="K31" s="12"/>
    </row>
    <row r="32" customFormat="false" ht="15" hidden="false" customHeight="false" outlineLevel="0" collapsed="false">
      <c r="A32" s="12" t="s">
        <v>630</v>
      </c>
      <c r="B32" s="12" t="s">
        <v>632</v>
      </c>
      <c r="C32" s="8"/>
      <c r="D32" s="8"/>
      <c r="E32" s="8"/>
      <c r="F32" s="8"/>
      <c r="G32" s="12" t="str">
        <f aca="false">IF(COUNT(C32:F32)=0,"",SUM(C32:F32))</f>
        <v/>
      </c>
      <c r="H32" s="13" t="str">
        <f aca="false">IFERROR((C32+F32)/G32,"")</f>
        <v/>
      </c>
      <c r="I32" s="13" t="str">
        <f aca="false">IFERROR(C32/(C32+E32),"")</f>
        <v/>
      </c>
      <c r="J32" s="13" t="str">
        <f aca="false">IFERROR(F32/(F32+D32),"")</f>
        <v/>
      </c>
      <c r="K32" s="12"/>
    </row>
    <row r="33" customFormat="false" ht="15" hidden="false" customHeight="false" outlineLevel="0" collapsed="false">
      <c r="A33" s="12" t="s">
        <v>636</v>
      </c>
      <c r="B33" s="12" t="s">
        <v>638</v>
      </c>
      <c r="C33" s="8"/>
      <c r="D33" s="8"/>
      <c r="E33" s="8"/>
      <c r="F33" s="8"/>
      <c r="G33" s="12" t="str">
        <f aca="false">IF(COUNT(C33:F33)=0,"",SUM(C33:F33))</f>
        <v/>
      </c>
      <c r="H33" s="13" t="str">
        <f aca="false">IFERROR((C33+F33)/G33,"")</f>
        <v/>
      </c>
      <c r="I33" s="13" t="str">
        <f aca="false">IFERROR(C33/(C33+E33),"")</f>
        <v/>
      </c>
      <c r="J33" s="13" t="str">
        <f aca="false">IFERROR(F33/(F33+D33),"")</f>
        <v/>
      </c>
      <c r="K33" s="12"/>
    </row>
    <row r="34" customFormat="false" ht="15" hidden="false" customHeight="false" outlineLevel="0" collapsed="false">
      <c r="A34" s="12" t="s">
        <v>641</v>
      </c>
      <c r="B34" s="12" t="s">
        <v>643</v>
      </c>
      <c r="C34" s="8"/>
      <c r="D34" s="8"/>
      <c r="E34" s="8"/>
      <c r="F34" s="8"/>
      <c r="G34" s="12" t="str">
        <f aca="false">IF(COUNT(C34:F34)=0,"",SUM(C34:F34))</f>
        <v/>
      </c>
      <c r="H34" s="13" t="str">
        <f aca="false">IFERROR((C34+F34)/G34,"")</f>
        <v/>
      </c>
      <c r="I34" s="13" t="str">
        <f aca="false">IFERROR(C34/(C34+E34),"")</f>
        <v/>
      </c>
      <c r="J34" s="13" t="str">
        <f aca="false">IFERROR(F34/(F34+D34),"")</f>
        <v/>
      </c>
      <c r="K34" s="12"/>
    </row>
    <row r="35" customFormat="false" ht="15" hidden="false" customHeight="false" outlineLevel="0" collapsed="false">
      <c r="A35" s="12" t="s">
        <v>646</v>
      </c>
      <c r="B35" s="12" t="s">
        <v>648</v>
      </c>
      <c r="C35" s="8"/>
      <c r="D35" s="8"/>
      <c r="E35" s="8"/>
      <c r="F35" s="8"/>
      <c r="G35" s="12" t="str">
        <f aca="false">IF(COUNT(C35:F35)=0,"",SUM(C35:F35))</f>
        <v/>
      </c>
      <c r="H35" s="13" t="str">
        <f aca="false">IFERROR((C35+F35)/G35,"")</f>
        <v/>
      </c>
      <c r="I35" s="13" t="str">
        <f aca="false">IFERROR(C35/(C35+E35),"")</f>
        <v/>
      </c>
      <c r="J35" s="13" t="str">
        <f aca="false">IFERROR(F35/(F35+D35),"")</f>
        <v/>
      </c>
      <c r="K35" s="12"/>
    </row>
    <row r="36" customFormat="false" ht="15" hidden="false" customHeight="false" outlineLevel="0" collapsed="false">
      <c r="A36" s="12" t="s">
        <v>651</v>
      </c>
      <c r="B36" s="12" t="s">
        <v>653</v>
      </c>
      <c r="C36" s="8"/>
      <c r="D36" s="8"/>
      <c r="E36" s="8"/>
      <c r="F36" s="8"/>
      <c r="G36" s="12" t="str">
        <f aca="false">IF(COUNT(C36:F36)=0,"",SUM(C36:F36))</f>
        <v/>
      </c>
      <c r="H36" s="13" t="str">
        <f aca="false">IFERROR((C36+F36)/G36,"")</f>
        <v/>
      </c>
      <c r="I36" s="13" t="str">
        <f aca="false">IFERROR(C36/(C36+E36),"")</f>
        <v/>
      </c>
      <c r="J36" s="13" t="str">
        <f aca="false">IFERROR(F36/(F36+D36),"")</f>
        <v/>
      </c>
      <c r="K36" s="12"/>
    </row>
    <row r="37" customFormat="false" ht="15" hidden="false" customHeight="false" outlineLevel="0" collapsed="false">
      <c r="A37" s="12" t="s">
        <v>657</v>
      </c>
      <c r="B37" s="12" t="s">
        <v>658</v>
      </c>
      <c r="C37" s="8"/>
      <c r="D37" s="8"/>
      <c r="E37" s="8"/>
      <c r="F37" s="8"/>
      <c r="G37" s="12" t="str">
        <f aca="false">IF(COUNT(C37:F37)=0,"",SUM(C37:F37))</f>
        <v/>
      </c>
      <c r="H37" s="13" t="str">
        <f aca="false">IFERROR((C37+F37)/G37,"")</f>
        <v/>
      </c>
      <c r="I37" s="13" t="str">
        <f aca="false">IFERROR(C37/(C37+E37),"")</f>
        <v/>
      </c>
      <c r="J37" s="13" t="str">
        <f aca="false">IFERROR(F37/(F37+D37),"")</f>
        <v/>
      </c>
      <c r="K37" s="12"/>
    </row>
    <row r="38" customFormat="false" ht="15" hidden="false" customHeight="false" outlineLevel="0" collapsed="false">
      <c r="A38" s="12" t="s">
        <v>661</v>
      </c>
      <c r="B38" s="12" t="s">
        <v>663</v>
      </c>
      <c r="C38" s="8"/>
      <c r="D38" s="8"/>
      <c r="E38" s="8"/>
      <c r="F38" s="8"/>
      <c r="G38" s="12" t="str">
        <f aca="false">IF(COUNT(C38:F38)=0,"",SUM(C38:F38))</f>
        <v/>
      </c>
      <c r="H38" s="13" t="str">
        <f aca="false">IFERROR((C38+F38)/G38,"")</f>
        <v/>
      </c>
      <c r="I38" s="13" t="str">
        <f aca="false">IFERROR(C38/(C38+E38),"")</f>
        <v/>
      </c>
      <c r="J38" s="13" t="str">
        <f aca="false">IFERROR(F38/(F38+D38),"")</f>
        <v/>
      </c>
      <c r="K38" s="12"/>
    </row>
    <row r="39" customFormat="false" ht="15" hidden="false" customHeight="false" outlineLevel="0" collapsed="false">
      <c r="A39" s="12" t="s">
        <v>667</v>
      </c>
      <c r="B39" s="12" t="s">
        <v>669</v>
      </c>
      <c r="C39" s="8"/>
      <c r="D39" s="8"/>
      <c r="E39" s="8"/>
      <c r="F39" s="8"/>
      <c r="G39" s="12" t="str">
        <f aca="false">IF(COUNT(C39:F39)=0,"",SUM(C39:F39))</f>
        <v/>
      </c>
      <c r="H39" s="13" t="str">
        <f aca="false">IFERROR((C39+F39)/G39,"")</f>
        <v/>
      </c>
      <c r="I39" s="13" t="str">
        <f aca="false">IFERROR(C39/(C39+E39),"")</f>
        <v/>
      </c>
      <c r="J39" s="13" t="str">
        <f aca="false">IFERROR(F39/(F39+D39),"")</f>
        <v/>
      </c>
      <c r="K39" s="12"/>
    </row>
    <row r="40" customFormat="false" ht="15" hidden="false" customHeight="false" outlineLevel="0" collapsed="false">
      <c r="A40" s="14" t="s">
        <v>737</v>
      </c>
      <c r="C40" s="14" t="n">
        <f aca="false">SUM(C4:C39)</f>
        <v>0</v>
      </c>
      <c r="D40" s="14" t="n">
        <f aca="false">SUM(D4:D39)</f>
        <v>0</v>
      </c>
      <c r="E40" s="14" t="n">
        <f aca="false">SUM(E4:E39)</f>
        <v>0</v>
      </c>
      <c r="F40" s="14" t="n">
        <f aca="false">SUM(F4:F39)</f>
        <v>0</v>
      </c>
      <c r="G40" s="14" t="str">
        <f aca="false">IF(SUM(C40:F40)=0,"",SUM(C40:F40))</f>
        <v/>
      </c>
      <c r="H40" s="15" t="str">
        <f aca="false">IFERROR((C40+F40)/G40,"")</f>
        <v/>
      </c>
      <c r="I40" s="15" t="str">
        <f aca="false">IFERROR(C40/(C40+E40),"")</f>
        <v/>
      </c>
      <c r="J40" s="15" t="str">
        <f aca="false">IFERROR(F40/(F40+D40),"")</f>
        <v/>
      </c>
    </row>
    <row r="41" customFormat="false" ht="15" hidden="false" customHeight="false" outlineLevel="0" collapsed="false">
      <c r="A41" s="16" t="s">
        <v>738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0"/>
    <col collapsed="false" customWidth="true" hidden="false" outlineLevel="0" max="3" min="3" style="1" width="60"/>
  </cols>
  <sheetData>
    <row r="1" customFormat="false" ht="15" hidden="false" customHeight="false" outlineLevel="0" collapsed="false">
      <c r="A1" s="5" t="s">
        <v>739</v>
      </c>
      <c r="B1" s="5" t="s">
        <v>740</v>
      </c>
      <c r="C1" s="5" t="s">
        <v>741</v>
      </c>
    </row>
    <row r="2" customFormat="false" ht="23.85" hidden="false" customHeight="false" outlineLevel="0" collapsed="false">
      <c r="A2" s="6" t="s">
        <v>742</v>
      </c>
      <c r="B2" s="6" t="s">
        <v>743</v>
      </c>
      <c r="C2" s="6" t="s">
        <v>744</v>
      </c>
    </row>
    <row r="3" customFormat="false" ht="15" hidden="false" customHeight="false" outlineLevel="0" collapsed="false">
      <c r="A3" s="6" t="s">
        <v>742</v>
      </c>
      <c r="B3" s="6" t="s">
        <v>745</v>
      </c>
      <c r="C3" s="6" t="s">
        <v>746</v>
      </c>
    </row>
    <row r="4" customFormat="false" ht="15" hidden="false" customHeight="false" outlineLevel="0" collapsed="false">
      <c r="A4" s="6" t="s">
        <v>742</v>
      </c>
      <c r="B4" s="6" t="s">
        <v>747</v>
      </c>
      <c r="C4" s="6" t="s">
        <v>748</v>
      </c>
    </row>
    <row r="5" customFormat="false" ht="23.85" hidden="false" customHeight="false" outlineLevel="0" collapsed="false">
      <c r="A5" s="6" t="s">
        <v>749</v>
      </c>
      <c r="B5" s="6" t="s">
        <v>750</v>
      </c>
      <c r="C5" s="6" t="s">
        <v>751</v>
      </c>
    </row>
    <row r="6" customFormat="false" ht="23.85" hidden="false" customHeight="false" outlineLevel="0" collapsed="false">
      <c r="A6" s="6" t="s">
        <v>749</v>
      </c>
      <c r="B6" s="6" t="s">
        <v>752</v>
      </c>
      <c r="C6" s="6" t="s">
        <v>753</v>
      </c>
    </row>
    <row r="7" customFormat="false" ht="23.85" hidden="false" customHeight="false" outlineLevel="0" collapsed="false">
      <c r="A7" s="6" t="s">
        <v>749</v>
      </c>
      <c r="B7" s="6" t="s">
        <v>754</v>
      </c>
      <c r="C7" s="6" t="s">
        <v>755</v>
      </c>
    </row>
    <row r="8" customFormat="false" ht="23.85" hidden="false" customHeight="false" outlineLevel="0" collapsed="false">
      <c r="A8" s="6" t="s">
        <v>749</v>
      </c>
      <c r="B8" s="6" t="s">
        <v>756</v>
      </c>
      <c r="C8" s="6" t="s">
        <v>757</v>
      </c>
    </row>
    <row r="9" customFormat="false" ht="23.85" hidden="false" customHeight="false" outlineLevel="0" collapsed="false">
      <c r="A9" s="6" t="s">
        <v>749</v>
      </c>
      <c r="B9" s="6" t="s">
        <v>758</v>
      </c>
      <c r="C9" s="6" t="s">
        <v>759</v>
      </c>
    </row>
    <row r="10" customFormat="false" ht="23.85" hidden="false" customHeight="false" outlineLevel="0" collapsed="false">
      <c r="A10" s="6" t="s">
        <v>760</v>
      </c>
      <c r="B10" s="6" t="s">
        <v>761</v>
      </c>
      <c r="C10" s="6" t="s">
        <v>762</v>
      </c>
    </row>
    <row r="11" customFormat="false" ht="23.85" hidden="false" customHeight="false" outlineLevel="0" collapsed="false">
      <c r="A11" s="6" t="s">
        <v>760</v>
      </c>
      <c r="B11" s="6" t="s">
        <v>763</v>
      </c>
      <c r="C11" s="6" t="s">
        <v>764</v>
      </c>
    </row>
    <row r="12" customFormat="false" ht="23.85" hidden="false" customHeight="false" outlineLevel="0" collapsed="false">
      <c r="A12" s="6" t="s">
        <v>760</v>
      </c>
      <c r="B12" s="6" t="s">
        <v>765</v>
      </c>
      <c r="C12" s="6" t="s">
        <v>766</v>
      </c>
    </row>
    <row r="13" customFormat="false" ht="15" hidden="false" customHeight="false" outlineLevel="0" collapsed="false">
      <c r="A13" s="6" t="s">
        <v>760</v>
      </c>
      <c r="B13" s="6" t="s">
        <v>767</v>
      </c>
      <c r="C13" s="6" t="s">
        <v>768</v>
      </c>
    </row>
    <row r="14" customFormat="false" ht="23.85" hidden="false" customHeight="false" outlineLevel="0" collapsed="false">
      <c r="A14" s="6" t="s">
        <v>760</v>
      </c>
      <c r="B14" s="6" t="s">
        <v>769</v>
      </c>
      <c r="C14" s="6" t="s">
        <v>770</v>
      </c>
    </row>
    <row r="15" customFormat="false" ht="35.05" hidden="false" customHeight="false" outlineLevel="0" collapsed="false">
      <c r="A15" s="6" t="s">
        <v>760</v>
      </c>
      <c r="B15" s="6" t="s">
        <v>771</v>
      </c>
      <c r="C15" s="6" t="s">
        <v>772</v>
      </c>
    </row>
    <row r="16" customFormat="false" ht="15" hidden="false" customHeight="false" outlineLevel="0" collapsed="false">
      <c r="A16" s="6" t="s">
        <v>760</v>
      </c>
      <c r="B16" s="6" t="s">
        <v>773</v>
      </c>
      <c r="C16" s="6" t="s">
        <v>774</v>
      </c>
    </row>
  </sheetData>
  <autoFilter ref="A1:C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0"/>
  </cols>
  <sheetData>
    <row r="1" customFormat="false" ht="15" hidden="false" customHeight="false" outlineLevel="0" collapsed="false">
      <c r="A1" s="5" t="s">
        <v>775</v>
      </c>
      <c r="B1" s="5" t="s">
        <v>776</v>
      </c>
    </row>
    <row r="2" customFormat="false" ht="23.85" hidden="false" customHeight="false" outlineLevel="0" collapsed="false">
      <c r="A2" s="6" t="s">
        <v>777</v>
      </c>
      <c r="B2" s="6" t="s">
        <v>778</v>
      </c>
    </row>
    <row r="3" customFormat="false" ht="15" hidden="false" customHeight="false" outlineLevel="0" collapsed="false">
      <c r="A3" s="6" t="s">
        <v>536</v>
      </c>
      <c r="B3" s="6" t="s">
        <v>779</v>
      </c>
    </row>
    <row r="4" customFormat="false" ht="23.85" hidden="false" customHeight="false" outlineLevel="0" collapsed="false">
      <c r="A4" s="6" t="s">
        <v>780</v>
      </c>
      <c r="B4" s="6" t="s">
        <v>781</v>
      </c>
    </row>
    <row r="5" customFormat="false" ht="15" hidden="false" customHeight="false" outlineLevel="0" collapsed="false">
      <c r="A5" s="6" t="s">
        <v>782</v>
      </c>
      <c r="B5" s="6" t="s">
        <v>783</v>
      </c>
    </row>
    <row r="6" customFormat="false" ht="15" hidden="false" customHeight="false" outlineLevel="0" collapsed="false">
      <c r="A6" s="6" t="s">
        <v>784</v>
      </c>
      <c r="B6" s="6" t="s">
        <v>785</v>
      </c>
    </row>
    <row r="7" customFormat="false" ht="15" hidden="false" customHeight="false" outlineLevel="0" collapsed="false">
      <c r="A7" s="6" t="s">
        <v>786</v>
      </c>
      <c r="B7" s="6" t="s">
        <v>787</v>
      </c>
    </row>
    <row r="8" customFormat="false" ht="15" hidden="false" customHeight="false" outlineLevel="0" collapsed="false">
      <c r="A8" s="6" t="s">
        <v>788</v>
      </c>
      <c r="B8" s="6" t="s">
        <v>789</v>
      </c>
    </row>
    <row r="9" customFormat="false" ht="15" hidden="false" customHeight="false" outlineLevel="0" collapsed="false">
      <c r="A9" s="6" t="s">
        <v>790</v>
      </c>
      <c r="B9" s="6" t="s">
        <v>791</v>
      </c>
    </row>
    <row r="10" customFormat="false" ht="15" hidden="false" customHeight="false" outlineLevel="0" collapsed="false">
      <c r="A10" s="6" t="s">
        <v>792</v>
      </c>
      <c r="B10" s="6" t="s">
        <v>793</v>
      </c>
    </row>
    <row r="11" customFormat="false" ht="15" hidden="false" customHeight="false" outlineLevel="0" collapsed="false">
      <c r="A11" s="6" t="s">
        <v>794</v>
      </c>
      <c r="B11" s="6" t="s">
        <v>795</v>
      </c>
    </row>
    <row r="12" customFormat="false" ht="15" hidden="false" customHeight="false" outlineLevel="0" collapsed="false">
      <c r="A12" s="6" t="s">
        <v>796</v>
      </c>
      <c r="B12" s="6" t="s">
        <v>797</v>
      </c>
    </row>
    <row r="13" customFormat="false" ht="15" hidden="false" customHeight="false" outlineLevel="0" collapsed="false">
      <c r="A13" s="6" t="s">
        <v>798</v>
      </c>
      <c r="B13" s="6" t="s">
        <v>799</v>
      </c>
    </row>
    <row r="14" customFormat="false" ht="15" hidden="false" customHeight="false" outlineLevel="0" collapsed="false">
      <c r="A14" s="6" t="s">
        <v>800</v>
      </c>
      <c r="B14" s="6" t="s">
        <v>801</v>
      </c>
    </row>
    <row r="15" customFormat="false" ht="15" hidden="false" customHeight="false" outlineLevel="0" collapsed="false">
      <c r="A15" s="6" t="s">
        <v>802</v>
      </c>
      <c r="B15" s="6" t="s">
        <v>803</v>
      </c>
    </row>
    <row r="16" customFormat="false" ht="15" hidden="false" customHeight="false" outlineLevel="0" collapsed="false">
      <c r="A16" s="6" t="s">
        <v>804</v>
      </c>
      <c r="B16" s="6" t="s">
        <v>805</v>
      </c>
    </row>
    <row r="17" customFormat="false" ht="15" hidden="false" customHeight="false" outlineLevel="0" collapsed="false">
      <c r="A17" s="6" t="s">
        <v>806</v>
      </c>
      <c r="B17" s="6" t="s">
        <v>807</v>
      </c>
    </row>
    <row r="18" customFormat="false" ht="15" hidden="false" customHeight="false" outlineLevel="0" collapsed="false">
      <c r="A18" s="6" t="s">
        <v>808</v>
      </c>
      <c r="B18" s="6" t="s">
        <v>809</v>
      </c>
    </row>
    <row r="19" customFormat="false" ht="15" hidden="false" customHeight="false" outlineLevel="0" collapsed="false">
      <c r="A19" s="6" t="s">
        <v>606</v>
      </c>
      <c r="B19" s="6" t="s">
        <v>810</v>
      </c>
    </row>
  </sheetData>
  <autoFilter ref="A1:B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2026-10-06T15:47:25Z</dcterms:created>
  <dc:creator>openpyxl</dc:creator>
  <dc:description/>
  <dc:language>en-US</dc:language>
  <cp:lastModifiedBy/>
  <dcterms:modified xsi:type="dcterms:W3CDTF">2026-10-06T15:47:25Z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